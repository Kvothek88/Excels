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t__t__ß_ß____e__as_a_" defaultThemeVersion="124226"/>
  <bookViews>
    <workbookView xWindow="-120" yWindow="-120" windowWidth="23256" windowHeight="13176"/>
  </bookViews>
  <sheets>
    <sheet name="Φύλλο1" sheetId="1" r:id="rId1"/>
    <sheet name="Φύλλο2" sheetId="2" r:id="rId2"/>
    <sheet name="Φύλλο3" sheetId="3" r:id="rId3"/>
  </sheets>
  <definedNames>
    <definedName name="Rank1">Φύλλο1!$G$5,Φύλλο1!$I$5,Φύλλο1!$K$5,Φύλλο1!$M$5,Φύλλο1!$O$5,Φύλλο1!$Q$5</definedName>
    <definedName name="Rank10">Φύλλο1!$G$14,Φύλλο1!$I$14,Φύλλο1!$K$14,Φύλλο1!$M$14,Φύλλο1!$O$14,Φύλλο1!$Q$14</definedName>
    <definedName name="Rank11">Φύλλο1!$G$15,Φύλλο1!$I$15,Φύλλο1!$K$15,Φύλλο1!$M$15,Φύλλο1!$O$15,Φύλλο1!$Q$15</definedName>
    <definedName name="Rank12">Φύλλο1!$G$16,Φύλλο1!$I$16,Φύλλο1!$K$16,Φύλλο1!$M$16,Φύλλο1!$O$16,Φύλλο1!$Q$16</definedName>
    <definedName name="Rank13">Φύλλο1!$G$17,Φύλλο1!$I$17,Φύλλο1!$K$17,Φύλλο1!$M$17,Φύλλο1!$O$17,Φύλλο1!$Q$17</definedName>
    <definedName name="Rank14">Φύλλο1!$G$18,Φύλλο1!$I$18,Φύλλο1!$K$18,Φύλλο1!$M$18,Φύλλο1!$O$18,Φύλλο1!$Q$18</definedName>
    <definedName name="Rank15">Φύλλο1!$G$19,Φύλλο1!$I$19,Φύλλο1!$K$19,Φύλλο1!$M$19,Φύλλο1!$O$19,Φύλλο1!$Q$19</definedName>
    <definedName name="Rank16">Φύλλο1!$G$20,Φύλλο1!$I$20,Φύλλο1!$K$20,Φύλλο1!$M$20,Φύλλο1!$O$20,Φύλλο1!$Q$20</definedName>
    <definedName name="Rank17">Φύλλο1!$G$21,Φύλλο1!$I$21,Φύλλο1!$K$21,Φύλλο1!$M$21,Φύλλο1!$O$21,Φύλλο1!$Q$21</definedName>
    <definedName name="Rank18">Φύλλο1!$G$22,Φύλλο1!$I$22,Φύλλο1!$K$22,Φύλλο1!$M$22,Φύλλο1!$O$22,Φύλλο1!$Q$22</definedName>
    <definedName name="Rank19">Φύλλο1!$G$23,Φύλλο1!$I$23,Φύλλο1!$K$23,Φύλλο1!$M$23,Φύλλο1!$O$23,Φύλλο1!$Q$23</definedName>
    <definedName name="Rank2">Φύλλο1!$G$6,Φύλλο1!$I$6,Φύλλο1!$K$6,Φύλλο1!$M$6,Φύλλο1!$O$6,Φύλλο1!$Q$6</definedName>
    <definedName name="Rank20">Φύλλο1!$G$24,Φύλλο1!$I$24,Φύλλο1!$K$24,Φύλλο1!$M$24,Φύλλο1!$O$24,Φύλλο1!$Q$24</definedName>
    <definedName name="Rank21">Φύλλο1!$G$25,Φύλλο1!$I$25,Φύλλο1!$K$25,Φύλλο1!$M$25,Φύλλο1!$O$25,Φύλλο1!$Q$25</definedName>
    <definedName name="Rank22">Φύλλο1!$G$26,Φύλλο1!$I$26,Φύλλο1!$K$26,Φύλλο1!$M$26,Φύλλο1!$O$26,Φύλλο1!$Q$26</definedName>
    <definedName name="Rank3">Φύλλο1!$G$7,Φύλλο1!$I$7,Φύλλο1!$K$7,Φύλλο1!$M$7,Φύλλο1!$O$7,Φύλλο1!$Q$7</definedName>
    <definedName name="Rank4">Φύλλο1!$G$8,Φύλλο1!$I$8,Φύλλο1!$K$8,Φύλλο1!$M$8,Φύλλο1!$O$8,Φύλλο1!$Q$8</definedName>
    <definedName name="Rank5">Φύλλο1!$G$9,Φύλλο1!$I$9,Φύλλο1!$K$9,Φύλλο1!$M$9,Φύλλο1!$O$9,Φύλλο1!$Q$9</definedName>
    <definedName name="Rank6">Φύλλο1!$G$10,Φύλλο1!$I$10,Φύλλο1!$K$10,Φύλλο1!$M$10,Φύλλο1!$O$10,Φύλλο1!$Q$10</definedName>
    <definedName name="Rank7">Φύλλο1!$G$11,Φύλλο1!$I$11,Φύλλο1!$K$11,Φύλλο1!$M$11,Φύλλο1!$O$11,Φύλλο1!$Q$11</definedName>
    <definedName name="Rank8">Φύλλο1!$G$12,Φύλλο1!$I$12,Φύλλο1!$K$12,Φύλλο1!$M$12,Φύλλο1!$O$12,Φύλλο1!$Q$12</definedName>
    <definedName name="Rank9">Φύλλο1!$G$13,Φύλλο1!$I$13,Φύλλο1!$K$13,Φύλλο1!$M$13,Φύλλο1!$O$13,Φύλλο1!$Q$13</definedName>
  </definedNames>
  <calcPr calcId="144525"/>
</workbook>
</file>

<file path=xl/calcChain.xml><?xml version="1.0" encoding="utf-8"?>
<calcChain xmlns="http://schemas.openxmlformats.org/spreadsheetml/2006/main">
  <c r="BS20" i="1" l="1"/>
  <c r="BS19" i="1"/>
  <c r="BS18" i="1"/>
  <c r="BS17" i="1"/>
  <c r="BS16" i="1"/>
  <c r="BS15" i="1"/>
  <c r="AD26" i="1" l="1"/>
  <c r="AD25" i="1"/>
  <c r="AD24" i="1"/>
  <c r="AD23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C9" i="1"/>
  <c r="AB9" i="1"/>
  <c r="AA9" i="1"/>
  <c r="Z9" i="1"/>
  <c r="AD8" i="1"/>
  <c r="AC8" i="1"/>
  <c r="AB8" i="1"/>
  <c r="AA8" i="1"/>
  <c r="Z8" i="1"/>
  <c r="AD7" i="1"/>
  <c r="AC7" i="1"/>
  <c r="AB7" i="1"/>
  <c r="AA7" i="1"/>
  <c r="Z7" i="1"/>
  <c r="AD6" i="1"/>
  <c r="AC6" i="1"/>
  <c r="AB6" i="1"/>
  <c r="AA6" i="1"/>
  <c r="Z6" i="1"/>
  <c r="AD5" i="1"/>
  <c r="AC5" i="1"/>
  <c r="AB5" i="1"/>
  <c r="AA5" i="1"/>
  <c r="Z5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AE14" i="1" l="1"/>
  <c r="AE18" i="1"/>
  <c r="AE22" i="1"/>
  <c r="AE10" i="1"/>
  <c r="AE8" i="1"/>
  <c r="AE6" i="1"/>
  <c r="AE7" i="1"/>
  <c r="AE11" i="1"/>
  <c r="AE15" i="1"/>
  <c r="AE19" i="1"/>
  <c r="AE20" i="1"/>
  <c r="AE12" i="1"/>
  <c r="AE16" i="1"/>
  <c r="AE9" i="1"/>
  <c r="AE13" i="1"/>
  <c r="AE17" i="1"/>
  <c r="AE21" i="1"/>
  <c r="AE5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AS18" i="1" l="1"/>
  <c r="AS17" i="1"/>
  <c r="AS20" i="1"/>
  <c r="AS22" i="1"/>
  <c r="AS16" i="1"/>
  <c r="AS7" i="1"/>
  <c r="AS15" i="1"/>
  <c r="AS6" i="1"/>
  <c r="AS21" i="1"/>
  <c r="AS19" i="1"/>
  <c r="AS14" i="1"/>
  <c r="AS13" i="1"/>
  <c r="AS12" i="1"/>
  <c r="AS11" i="1"/>
  <c r="AS10" i="1"/>
  <c r="AS9" i="1"/>
  <c r="AS8" i="1"/>
  <c r="AS5" i="1"/>
  <c r="P21" i="1" l="1"/>
  <c r="L20" i="1"/>
  <c r="BU39" i="1" s="1"/>
  <c r="P20" i="1"/>
  <c r="BW39" i="1" s="1"/>
  <c r="J20" i="1"/>
  <c r="BT39" i="1" s="1"/>
  <c r="R20" i="1"/>
  <c r="BX39" i="1" s="1"/>
  <c r="N20" i="1"/>
  <c r="BV39" i="1" s="1"/>
  <c r="H20" i="1"/>
  <c r="BS39" i="1" s="1"/>
  <c r="R21" i="1"/>
  <c r="BX40" i="1" s="1"/>
  <c r="N21" i="1"/>
  <c r="BV40" i="1" s="1"/>
  <c r="L21" i="1"/>
  <c r="BU40" i="1" s="1"/>
  <c r="H21" i="1"/>
  <c r="BS40" i="1" s="1"/>
  <c r="J21" i="1"/>
  <c r="BT40" i="1" s="1"/>
  <c r="R19" i="1"/>
  <c r="BX38" i="1" s="1"/>
  <c r="P19" i="1"/>
  <c r="BW38" i="1" s="1"/>
  <c r="J19" i="1"/>
  <c r="BT38" i="1" s="1"/>
  <c r="L19" i="1"/>
  <c r="BU38" i="1" s="1"/>
  <c r="N19" i="1"/>
  <c r="BV38" i="1" s="1"/>
  <c r="H19" i="1"/>
  <c r="BS38" i="1" s="1"/>
  <c r="R18" i="1"/>
  <c r="BX37" i="1" s="1"/>
  <c r="H18" i="1"/>
  <c r="BS37" i="1" s="1"/>
  <c r="J18" i="1"/>
  <c r="BT37" i="1" s="1"/>
  <c r="P18" i="1"/>
  <c r="BW37" i="1" s="1"/>
  <c r="L18" i="1"/>
  <c r="BU37" i="1" s="1"/>
  <c r="N18" i="1"/>
  <c r="BV37" i="1" s="1"/>
  <c r="H12" i="1"/>
  <c r="BS31" i="1" s="1"/>
  <c r="J14" i="1"/>
  <c r="BT33" i="1" s="1"/>
  <c r="R17" i="1"/>
  <c r="BX36" i="1" s="1"/>
  <c r="P17" i="1"/>
  <c r="BW36" i="1" s="1"/>
  <c r="L16" i="1"/>
  <c r="BU35" i="1" s="1"/>
  <c r="J17" i="1"/>
  <c r="BT36" i="1" s="1"/>
  <c r="N17" i="1"/>
  <c r="BV36" i="1" s="1"/>
  <c r="L17" i="1"/>
  <c r="BU36" i="1" s="1"/>
  <c r="H17" i="1"/>
  <c r="BS36" i="1" s="1"/>
  <c r="R16" i="1"/>
  <c r="BX35" i="1" s="1"/>
  <c r="H16" i="1"/>
  <c r="BS35" i="1" s="1"/>
  <c r="J16" i="1"/>
  <c r="BT35" i="1" s="1"/>
  <c r="P16" i="1"/>
  <c r="BW35" i="1" s="1"/>
  <c r="N16" i="1"/>
  <c r="BV35" i="1" s="1"/>
  <c r="H15" i="1"/>
  <c r="BS34" i="1" s="1"/>
  <c r="N14" i="1"/>
  <c r="BV33" i="1" s="1"/>
  <c r="R14" i="1"/>
  <c r="BX33" i="1" s="1"/>
  <c r="H14" i="1"/>
  <c r="BS33" i="1" s="1"/>
  <c r="L14" i="1"/>
  <c r="BU33" i="1" s="1"/>
  <c r="P14" i="1"/>
  <c r="BW33" i="1" s="1"/>
  <c r="N15" i="1"/>
  <c r="BV34" i="1" s="1"/>
  <c r="R15" i="1"/>
  <c r="BX34" i="1" s="1"/>
  <c r="P15" i="1"/>
  <c r="BW34" i="1" s="1"/>
  <c r="J15" i="1"/>
  <c r="BT34" i="1" s="1"/>
  <c r="L15" i="1"/>
  <c r="BU34" i="1" s="1"/>
  <c r="P13" i="1"/>
  <c r="BW32" i="1" s="1"/>
  <c r="R13" i="1"/>
  <c r="BX32" i="1" s="1"/>
  <c r="L13" i="1"/>
  <c r="BU32" i="1" s="1"/>
  <c r="N13" i="1"/>
  <c r="BV32" i="1" s="1"/>
  <c r="H13" i="1"/>
  <c r="BS32" i="1" s="1"/>
  <c r="J13" i="1"/>
  <c r="BT32" i="1" s="1"/>
  <c r="R11" i="1"/>
  <c r="BX30" i="1" s="1"/>
  <c r="N11" i="1"/>
  <c r="BV30" i="1" s="1"/>
  <c r="H11" i="1"/>
  <c r="BS30" i="1" s="1"/>
  <c r="P11" i="1"/>
  <c r="BW30" i="1" s="1"/>
  <c r="L11" i="1"/>
  <c r="BU30" i="1" s="1"/>
  <c r="J11" i="1"/>
  <c r="BT30" i="1" s="1"/>
  <c r="R12" i="1"/>
  <c r="BX31" i="1" s="1"/>
  <c r="P12" i="1"/>
  <c r="BW31" i="1" s="1"/>
  <c r="N12" i="1"/>
  <c r="BV31" i="1" s="1"/>
  <c r="J12" i="1"/>
  <c r="BT31" i="1" s="1"/>
  <c r="L12" i="1"/>
  <c r="BU31" i="1" s="1"/>
  <c r="P10" i="1"/>
  <c r="H10" i="1"/>
  <c r="R10" i="1"/>
  <c r="J10" i="1"/>
  <c r="L10" i="1"/>
  <c r="N10" i="1"/>
  <c r="H8" i="1"/>
  <c r="BS27" i="1" s="1"/>
  <c r="N9" i="1"/>
  <c r="BV28" i="1" s="1"/>
  <c r="J9" i="1"/>
  <c r="BT28" i="1" s="1"/>
  <c r="H9" i="1"/>
  <c r="BS28" i="1" s="1"/>
  <c r="R9" i="1"/>
  <c r="BX28" i="1" s="1"/>
  <c r="P9" i="1"/>
  <c r="BW28" i="1" s="1"/>
  <c r="L9" i="1"/>
  <c r="BU28" i="1" s="1"/>
  <c r="R8" i="1"/>
  <c r="BX27" i="1" s="1"/>
  <c r="P8" i="1"/>
  <c r="BW27" i="1" s="1"/>
  <c r="L8" i="1"/>
  <c r="BU27" i="1" s="1"/>
  <c r="N8" i="1"/>
  <c r="BV27" i="1" s="1"/>
  <c r="J8" i="1"/>
  <c r="BT27" i="1" s="1"/>
  <c r="R7" i="1"/>
  <c r="BX26" i="1" s="1"/>
  <c r="N7" i="1"/>
  <c r="BV26" i="1" s="1"/>
  <c r="J7" i="1"/>
  <c r="BT26" i="1" s="1"/>
  <c r="H7" i="1"/>
  <c r="BS26" i="1" s="1"/>
  <c r="P7" i="1"/>
  <c r="BW26" i="1" s="1"/>
  <c r="L7" i="1"/>
  <c r="BU26" i="1" s="1"/>
  <c r="L6" i="1"/>
  <c r="BU25" i="1" s="1"/>
  <c r="N6" i="1"/>
  <c r="BV25" i="1" s="1"/>
  <c r="P6" i="1"/>
  <c r="BW25" i="1" s="1"/>
  <c r="H6" i="1"/>
  <c r="BS25" i="1" s="1"/>
  <c r="R6" i="1"/>
  <c r="BX25" i="1" s="1"/>
  <c r="J6" i="1"/>
  <c r="BT25" i="1" s="1"/>
  <c r="BW40" i="1"/>
  <c r="P5" i="1"/>
  <c r="BW24" i="1" s="1"/>
  <c r="J5" i="1"/>
  <c r="BT24" i="1" s="1"/>
  <c r="L5" i="1"/>
  <c r="BU24" i="1" s="1"/>
  <c r="R5" i="1"/>
  <c r="BX24" i="1" s="1"/>
  <c r="N5" i="1"/>
  <c r="BV24" i="1" s="1"/>
  <c r="H5" i="1"/>
  <c r="BS24" i="1" s="1"/>
  <c r="AR26" i="1"/>
  <c r="AR25" i="1"/>
  <c r="BW29" i="1" l="1"/>
  <c r="BT29" i="1"/>
  <c r="BV29" i="1"/>
  <c r="BS29" i="1"/>
  <c r="BX29" i="1"/>
  <c r="BU29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AK6" i="1" l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5" i="1"/>
  <c r="AL5" i="1" s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F8" i="1" l="1"/>
  <c r="AG8" i="1" s="1"/>
  <c r="AH8" i="1" s="1"/>
  <c r="AI8" i="1" s="1"/>
  <c r="AF9" i="1"/>
  <c r="AG9" i="1" s="1"/>
  <c r="AF10" i="1"/>
  <c r="AG10" i="1" s="1"/>
  <c r="AH10" i="1" s="1"/>
  <c r="AI10" i="1" s="1"/>
  <c r="AF11" i="1"/>
  <c r="AG11" i="1" s="1"/>
  <c r="AF12" i="1"/>
  <c r="AG12" i="1" s="1"/>
  <c r="AH12" i="1" s="1"/>
  <c r="AI12" i="1" s="1"/>
  <c r="AF13" i="1"/>
  <c r="AG13" i="1" s="1"/>
  <c r="AF14" i="1"/>
  <c r="AG14" i="1" s="1"/>
  <c r="AH14" i="1" s="1"/>
  <c r="AI14" i="1" s="1"/>
  <c r="AF15" i="1"/>
  <c r="AG15" i="1" s="1"/>
  <c r="AF16" i="1"/>
  <c r="AG16" i="1" s="1"/>
  <c r="AH16" i="1" s="1"/>
  <c r="AI16" i="1" s="1"/>
  <c r="AF17" i="1"/>
  <c r="AG17" i="1" s="1"/>
  <c r="AF18" i="1"/>
  <c r="AG18" i="1" s="1"/>
  <c r="AH18" i="1" s="1"/>
  <c r="AI18" i="1" s="1"/>
  <c r="AF19" i="1"/>
  <c r="AG19" i="1" s="1"/>
  <c r="AF20" i="1"/>
  <c r="AG20" i="1" s="1"/>
  <c r="AH20" i="1" s="1"/>
  <c r="AI20" i="1" s="1"/>
  <c r="AF21" i="1"/>
  <c r="AG21" i="1" s="1"/>
  <c r="AF22" i="1"/>
  <c r="AG22" i="1" s="1"/>
  <c r="AH22" i="1" s="1"/>
  <c r="AI22" i="1" s="1"/>
  <c r="AF23" i="1"/>
  <c r="AG23" i="1" s="1"/>
  <c r="AF24" i="1"/>
  <c r="AG24" i="1" s="1"/>
  <c r="AH24" i="1" s="1"/>
  <c r="AI24" i="1" s="1"/>
  <c r="AF25" i="1"/>
  <c r="AG25" i="1" s="1"/>
  <c r="AF26" i="1"/>
  <c r="AG26" i="1" s="1"/>
  <c r="AH26" i="1" s="1"/>
  <c r="AI26" i="1" s="1"/>
  <c r="AH25" i="1" l="1"/>
  <c r="AI25" i="1" s="1"/>
  <c r="AH19" i="1"/>
  <c r="AI19" i="1" s="1"/>
  <c r="AH13" i="1"/>
  <c r="AI13" i="1" s="1"/>
  <c r="AH21" i="1"/>
  <c r="AI21" i="1" s="1"/>
  <c r="AH15" i="1"/>
  <c r="AI15" i="1" s="1"/>
  <c r="AH9" i="1"/>
  <c r="AI9" i="1" s="1"/>
  <c r="AH23" i="1"/>
  <c r="AI23" i="1" s="1"/>
  <c r="AH17" i="1"/>
  <c r="AI17" i="1" s="1"/>
  <c r="AH11" i="1"/>
  <c r="AI11" i="1" s="1"/>
  <c r="AL11" i="1"/>
  <c r="AL22" i="1"/>
  <c r="AL16" i="1"/>
  <c r="AL26" i="1"/>
  <c r="AL20" i="1"/>
  <c r="AL15" i="1"/>
  <c r="AL10" i="1"/>
  <c r="AL24" i="1"/>
  <c r="AL19" i="1"/>
  <c r="AL14" i="1"/>
  <c r="AL8" i="1"/>
  <c r="AL23" i="1"/>
  <c r="AL18" i="1"/>
  <c r="AL12" i="1"/>
  <c r="AL25" i="1"/>
  <c r="AL21" i="1"/>
  <c r="AL17" i="1"/>
  <c r="AL13" i="1"/>
  <c r="AL9" i="1"/>
  <c r="AF7" i="1"/>
  <c r="AF6" i="1"/>
  <c r="AM21" i="1" l="1"/>
  <c r="AM23" i="1"/>
  <c r="AN23" i="1" s="1"/>
  <c r="AO23" i="1" s="1"/>
  <c r="AM24" i="1"/>
  <c r="AM26" i="1"/>
  <c r="AM9" i="1"/>
  <c r="AM25" i="1"/>
  <c r="AN25" i="1" s="1"/>
  <c r="AO25" i="1" s="1"/>
  <c r="AM8" i="1"/>
  <c r="AM10" i="1"/>
  <c r="AM16" i="1"/>
  <c r="AM13" i="1"/>
  <c r="AN13" i="1" s="1"/>
  <c r="AO13" i="1" s="1"/>
  <c r="AM12" i="1"/>
  <c r="AM14" i="1"/>
  <c r="AM15" i="1"/>
  <c r="AM22" i="1"/>
  <c r="AN22" i="1" s="1"/>
  <c r="AO22" i="1" s="1"/>
  <c r="AM17" i="1"/>
  <c r="AM18" i="1"/>
  <c r="AM19" i="1"/>
  <c r="AM20" i="1"/>
  <c r="AN20" i="1" s="1"/>
  <c r="AO20" i="1" s="1"/>
  <c r="AM11" i="1"/>
  <c r="AJ10" i="1"/>
  <c r="AJ26" i="1"/>
  <c r="AJ23" i="1"/>
  <c r="AJ20" i="1"/>
  <c r="AJ17" i="1"/>
  <c r="AJ14" i="1"/>
  <c r="AJ11" i="1"/>
  <c r="AJ8" i="1"/>
  <c r="AJ24" i="1"/>
  <c r="AJ21" i="1"/>
  <c r="AJ18" i="1"/>
  <c r="AJ15" i="1"/>
  <c r="AJ12" i="1"/>
  <c r="AJ9" i="1"/>
  <c r="AJ25" i="1"/>
  <c r="AJ22" i="1"/>
  <c r="AJ19" i="1"/>
  <c r="AJ16" i="1"/>
  <c r="AJ13" i="1"/>
  <c r="AG6" i="1"/>
  <c r="AL6" i="1"/>
  <c r="AG7" i="1"/>
  <c r="AL7" i="1"/>
  <c r="AF5" i="1"/>
  <c r="AQ13" i="1" l="1"/>
  <c r="AT13" i="1" s="1"/>
  <c r="AQ22" i="1"/>
  <c r="AQ23" i="1"/>
  <c r="AQ20" i="1"/>
  <c r="AT20" i="1" s="1"/>
  <c r="AQ25" i="1"/>
  <c r="AH7" i="1"/>
  <c r="AI7" i="1" s="1"/>
  <c r="AH6" i="1"/>
  <c r="AN17" i="1"/>
  <c r="AO17" i="1" s="1"/>
  <c r="AN14" i="1"/>
  <c r="AO14" i="1" s="1"/>
  <c r="AQ14" i="1" s="1"/>
  <c r="AN16" i="1"/>
  <c r="AO16" i="1" s="1"/>
  <c r="AN12" i="1"/>
  <c r="AO12" i="1" s="1"/>
  <c r="AQ12" i="1" s="1"/>
  <c r="AN10" i="1"/>
  <c r="AO10" i="1" s="1"/>
  <c r="AQ10" i="1" s="1"/>
  <c r="AN9" i="1"/>
  <c r="AO9" i="1" s="1"/>
  <c r="AN19" i="1"/>
  <c r="AO19" i="1" s="1"/>
  <c r="AN8" i="1"/>
  <c r="AO8" i="1" s="1"/>
  <c r="AN26" i="1"/>
  <c r="AO26" i="1" s="1"/>
  <c r="AN21" i="1"/>
  <c r="AO21" i="1" s="1"/>
  <c r="AN11" i="1"/>
  <c r="AO11" i="1" s="1"/>
  <c r="AQ11" i="1" s="1"/>
  <c r="AN18" i="1"/>
  <c r="AO18" i="1" s="1"/>
  <c r="AN15" i="1"/>
  <c r="AO15" i="1" s="1"/>
  <c r="AQ15" i="1" s="1"/>
  <c r="AN24" i="1"/>
  <c r="AO24" i="1" s="1"/>
  <c r="AM6" i="1"/>
  <c r="AM7" i="1"/>
  <c r="AN7" i="1" s="1"/>
  <c r="AO7" i="1" s="1"/>
  <c r="AG5" i="1"/>
  <c r="AH5" i="1" s="1"/>
  <c r="AI5" i="1" s="1"/>
  <c r="AQ24" i="1" l="1"/>
  <c r="AQ21" i="1"/>
  <c r="AT21" i="1" s="1"/>
  <c r="AQ19" i="1"/>
  <c r="AT19" i="1" s="1"/>
  <c r="AQ17" i="1"/>
  <c r="AT17" i="1" s="1"/>
  <c r="AQ16" i="1"/>
  <c r="AT16" i="1" s="1"/>
  <c r="AQ26" i="1"/>
  <c r="AQ18" i="1"/>
  <c r="AT18" i="1" s="1"/>
  <c r="AQ9" i="1"/>
  <c r="AT9" i="1" s="1"/>
  <c r="AQ8" i="1"/>
  <c r="AT8" i="1" s="1"/>
  <c r="AT15" i="1"/>
  <c r="AT14" i="1"/>
  <c r="AT12" i="1"/>
  <c r="AT11" i="1"/>
  <c r="AT10" i="1"/>
  <c r="AI6" i="1"/>
  <c r="AJ6" i="1" s="1"/>
  <c r="AN6" i="1"/>
  <c r="AO6" i="1" s="1"/>
  <c r="AM5" i="1"/>
  <c r="AJ7" i="1"/>
  <c r="AQ6" i="1" l="1"/>
  <c r="AQ7" i="1"/>
  <c r="AT7" i="1" s="1"/>
  <c r="AN5" i="1"/>
  <c r="AO5" i="1" s="1"/>
  <c r="AJ5" i="1"/>
  <c r="AR5" i="1"/>
  <c r="AQ5" i="1" l="1"/>
  <c r="AT6" i="1" l="1"/>
  <c r="AT5" i="1"/>
  <c r="AE24" i="1" l="1"/>
  <c r="AS24" i="1" s="1"/>
  <c r="AE26" i="1"/>
  <c r="AS26" i="1" s="1"/>
  <c r="AE25" i="1"/>
  <c r="AS25" i="1" s="1"/>
  <c r="L24" i="1" l="1"/>
  <c r="J24" i="1"/>
  <c r="P26" i="1"/>
  <c r="BW45" i="1" s="1"/>
  <c r="H26" i="1"/>
  <c r="BS45" i="1" s="1"/>
  <c r="R26" i="1"/>
  <c r="BX45" i="1" s="1"/>
  <c r="N26" i="1"/>
  <c r="BV45" i="1" s="1"/>
  <c r="J26" i="1"/>
  <c r="BT45" i="1" s="1"/>
  <c r="L26" i="1"/>
  <c r="BU45" i="1" s="1"/>
  <c r="R25" i="1"/>
  <c r="BX44" i="1" s="1"/>
  <c r="J25" i="1"/>
  <c r="BT44" i="1" s="1"/>
  <c r="N25" i="1"/>
  <c r="BV44" i="1" s="1"/>
  <c r="H25" i="1"/>
  <c r="BS44" i="1" s="1"/>
  <c r="L25" i="1"/>
  <c r="BU44" i="1" s="1"/>
  <c r="P25" i="1"/>
  <c r="BW44" i="1" s="1"/>
  <c r="AT26" i="1"/>
  <c r="AT25" i="1"/>
  <c r="AE23" i="1"/>
  <c r="AS23" i="1" s="1"/>
  <c r="H22" i="1" s="1"/>
  <c r="N24" i="1" l="1"/>
  <c r="BV43" i="1" s="1"/>
  <c r="H24" i="1"/>
  <c r="BS43" i="1" s="1"/>
  <c r="P24" i="1"/>
  <c r="BW43" i="1" s="1"/>
  <c r="R24" i="1"/>
  <c r="BX43" i="1" s="1"/>
  <c r="H23" i="1"/>
  <c r="BS42" i="1" s="1"/>
  <c r="R23" i="1"/>
  <c r="BX42" i="1" s="1"/>
  <c r="P23" i="1"/>
  <c r="BW42" i="1" s="1"/>
  <c r="J23" i="1"/>
  <c r="BT42" i="1" s="1"/>
  <c r="N23" i="1"/>
  <c r="BV42" i="1" s="1"/>
  <c r="L23" i="1"/>
  <c r="BU42" i="1" s="1"/>
  <c r="R22" i="1"/>
  <c r="BX41" i="1" s="1"/>
  <c r="L22" i="1"/>
  <c r="BU41" i="1" s="1"/>
  <c r="J22" i="1"/>
  <c r="BT41" i="1" s="1"/>
  <c r="N22" i="1"/>
  <c r="BV41" i="1" s="1"/>
  <c r="P22" i="1"/>
  <c r="BW41" i="1" s="1"/>
  <c r="BS41" i="1"/>
  <c r="BU43" i="1"/>
  <c r="BT43" i="1"/>
  <c r="AT24" i="1"/>
  <c r="AT22" i="1"/>
  <c r="AT23" i="1"/>
  <c r="BS10" i="1" l="1"/>
  <c r="BS6" i="1"/>
  <c r="BS7" i="1"/>
  <c r="BS11" i="1"/>
  <c r="BS8" i="1"/>
  <c r="BS9" i="1"/>
</calcChain>
</file>

<file path=xl/sharedStrings.xml><?xml version="1.0" encoding="utf-8"?>
<sst xmlns="http://schemas.openxmlformats.org/spreadsheetml/2006/main" count="2684" uniqueCount="40">
  <si>
    <t>Bank</t>
  </si>
  <si>
    <t>Hat</t>
  </si>
  <si>
    <t>Ship</t>
  </si>
  <si>
    <t>Car</t>
  </si>
  <si>
    <t>Iron</t>
  </si>
  <si>
    <t>Dog</t>
  </si>
  <si>
    <t>Εκκίνηση</t>
  </si>
  <si>
    <t>Ενοίκιο 1</t>
  </si>
  <si>
    <t>Ενοίκιο 2</t>
  </si>
  <si>
    <t>Ενοίκιο 3</t>
  </si>
  <si>
    <t>Ενοίκιο 4</t>
  </si>
  <si>
    <t>Ενοίκιο 5</t>
  </si>
  <si>
    <t>Ενοίκιο 6</t>
  </si>
  <si>
    <t>Ενοίκιο 7</t>
  </si>
  <si>
    <t>Ενοίκιο 8</t>
  </si>
  <si>
    <t>Ενοίκιο 9</t>
  </si>
  <si>
    <t>Μετοχές</t>
  </si>
  <si>
    <t>Αρχική Τιμή Μετοχής (€ M)</t>
  </si>
  <si>
    <t>Τιμή Αγοράς (€ M)</t>
  </si>
  <si>
    <t>Σύνολο</t>
  </si>
  <si>
    <t>Αξία 1 Γραφείου</t>
  </si>
  <si>
    <t>Συνολική Αξία Γραφείων</t>
  </si>
  <si>
    <t>Ποσότητα Γραφείων</t>
  </si>
  <si>
    <t>Τελική Τιμή Μετοχής (€ M)</t>
  </si>
  <si>
    <t>Κυμαινόμενη Τιμή Μετοχής (€ M)</t>
  </si>
  <si>
    <t>Προεδρία</t>
  </si>
  <si>
    <t>Shoe</t>
  </si>
  <si>
    <t>Αύξηση Τιμής Μετοχής σε σχέση με τις Αρορές Μετοχών</t>
  </si>
  <si>
    <t>Ενοίκιο</t>
  </si>
  <si>
    <t>-</t>
  </si>
  <si>
    <t>Own all companies from color</t>
  </si>
  <si>
    <t>Do not own all companies from color</t>
  </si>
  <si>
    <t>1 Office</t>
  </si>
  <si>
    <t>2 Offices</t>
  </si>
  <si>
    <t>3 Offices</t>
  </si>
  <si>
    <t>4 Offices</t>
  </si>
  <si>
    <t>5 Offices</t>
  </si>
  <si>
    <t>Ενοίκιο 10</t>
  </si>
  <si>
    <t>Ενοίκιο 11</t>
  </si>
  <si>
    <t>Ενοίκιο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</si>
</sst>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"/>
    <numFmt numFmtId="165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auto="1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auto="1"/>
      </bottom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1">
    <xf numFmtId="0" fontId="0" fillId="0" borderId="0" xfId="0"/>
    <xf numFmtId="21" fontId="0" fillId="0" borderId="0" xfId="0" applyNumberFormat="1"/>
    <xf numFmtId="0" fontId="2" fillId="0" borderId="0" xfId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2" fillId="0" borderId="0" xfId="1" applyNumberFormat="1" applyAlignment="1">
      <alignment vertical="center"/>
    </xf>
    <xf numFmtId="165" fontId="0" fillId="0" borderId="0" xfId="0" applyNumberFormat="1"/>
    <xf numFmtId="21" fontId="2" fillId="0" borderId="0" xfId="1" applyNumberFormat="1" applyAlignment="1">
      <alignment vertical="center"/>
    </xf>
    <xf numFmtId="0" fontId="3" fillId="0" borderId="0" xfId="0" applyFont="1"/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3" fillId="9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21" fontId="0" fillId="0" borderId="0" xfId="0" applyNumberFormat="1" applyBorder="1"/>
    <xf numFmtId="0" fontId="2" fillId="0" borderId="0" xfId="1" applyBorder="1" applyAlignment="1">
      <alignment vertical="center"/>
    </xf>
    <xf numFmtId="21" fontId="2" fillId="0" borderId="0" xfId="1" applyNumberFormat="1" applyBorder="1" applyAlignment="1">
      <alignment vertical="center"/>
    </xf>
    <xf numFmtId="164" fontId="2" fillId="0" borderId="0" xfId="1" applyNumberFormat="1" applyBorder="1" applyAlignment="1">
      <alignment vertical="center"/>
    </xf>
    <xf numFmtId="165" fontId="0" fillId="0" borderId="0" xfId="0" applyNumberFormat="1" applyBorder="1"/>
    <xf numFmtId="0" fontId="5" fillId="0" borderId="3" xfId="0" applyFont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0" borderId="0" xfId="0" applyFont="1" applyAlignment="1"/>
    <xf numFmtId="0" fontId="0" fillId="0" borderId="1" xfId="0" applyFont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5" fillId="13" borderId="12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14" xfId="0" applyNumberFormat="1" applyBorder="1" applyAlignment="1">
      <alignment horizontal="center" vertical="center"/>
    </xf>
    <xf numFmtId="22" fontId="0" fillId="0" borderId="16" xfId="0" applyNumberFormat="1" applyBorder="1" applyAlignment="1">
      <alignment horizontal="center" vertical="center"/>
    </xf>
    <xf numFmtId="22" fontId="0" fillId="0" borderId="10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22" fontId="0" fillId="0" borderId="15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22" fontId="0" fillId="0" borderId="0" xfId="0" applyNumberFormat="1"/>
    <xf numFmtId="0" fontId="9" fillId="0" borderId="20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13" borderId="28" xfId="0" applyFont="1" applyFill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36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</cellXfs>
  <cellStyles count="2">
    <cellStyle name="Κανονικό" xfId="0" builtinId="0"/>
    <cellStyle name="Υπερ-σύνδεση" xfId="1" builtinId="8"/>
  </cellStyles>
  <dxfs count="1">
    <dxf>
      <font>
        <color theme="0"/>
      </font>
    </dxf>
  </dxfs>
  <tableStyles count="0" defaultTableStyle="TableStyleMedium2" defaultPivotStyle="PivotStyleMedium9"/>
  <colors>
    <mruColors>
      <color rgb="FFFF33CC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594360</xdr:colOff>
          <xdr:row>2</xdr:row>
          <xdr:rowOff>0</xdr:rowOff>
        </xdr:from>
        <xdr:to>
          <xdr:col>50</xdr:col>
          <xdr:colOff>7620</xdr:colOff>
          <xdr:row>2</xdr:row>
          <xdr:rowOff>464820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Νέο Παιχνίδι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4</xdr:row>
          <xdr:rowOff>0</xdr:rowOff>
        </xdr:from>
        <xdr:to>
          <xdr:col>50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ΑΝΟΔΙΚΕΣ - Πάρε 50 άνα Προεδρία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2</xdr:row>
          <xdr:rowOff>0</xdr:rowOff>
        </xdr:from>
        <xdr:to>
          <xdr:col>53</xdr:col>
          <xdr:colOff>22860</xdr:colOff>
          <xdr:row>2</xdr:row>
          <xdr:rowOff>464820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Σύνολο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4</xdr:row>
          <xdr:rowOff>0</xdr:rowOff>
        </xdr:from>
        <xdr:to>
          <xdr:col>53</xdr:col>
          <xdr:colOff>7620</xdr:colOff>
          <xdr:row>5</xdr:row>
          <xdr:rowOff>236220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Ενοίκιο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8</xdr:row>
          <xdr:rowOff>0</xdr:rowOff>
        </xdr:from>
        <xdr:to>
          <xdr:col>53</xdr:col>
          <xdr:colOff>7620</xdr:colOff>
          <xdr:row>9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Εκκίνηση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8</xdr:row>
          <xdr:rowOff>7620</xdr:rowOff>
        </xdr:from>
        <xdr:to>
          <xdr:col>50</xdr:col>
          <xdr:colOff>7620</xdr:colOff>
          <xdr:row>9</xdr:row>
          <xdr:rowOff>236220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ΚΑΘΟΔΙΚΕΣ - Πούλα όλες τις Μετοχές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601980</xdr:colOff>
          <xdr:row>11</xdr:row>
          <xdr:rowOff>251460</xdr:rowOff>
        </xdr:from>
        <xdr:to>
          <xdr:col>52</xdr:col>
          <xdr:colOff>601980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Πώληση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12</xdr:row>
          <xdr:rowOff>0</xdr:rowOff>
        </xdr:from>
        <xdr:to>
          <xdr:col>50</xdr:col>
          <xdr:colOff>0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ΚΑΘΟΔΙΚΕΣ</a:t>
              </a: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</a:t>
              </a:r>
              <a:r>
                <a:rPr lang="el-G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Πλήρωσε 10 για κάθε Μετοχή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15</xdr:row>
          <xdr:rowOff>228600</xdr:rowOff>
        </xdr:from>
        <xdr:to>
          <xdr:col>50</xdr:col>
          <xdr:colOff>0</xdr:colOff>
          <xdr:row>18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ΚΑΘΟΔΙΚΕΣ - Γενικές Επισκευές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20</xdr:row>
          <xdr:rowOff>0</xdr:rowOff>
        </xdr:from>
        <xdr:to>
          <xdr:col>49</xdr:col>
          <xdr:colOff>601980</xdr:colOff>
          <xdr:row>22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ΚΑΘΟΔΙΚΕΣ - </a:t>
              </a:r>
              <a:r>
                <a:rPr lang="el-G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Πλήρωσε 10% Συνόλου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23</xdr:row>
          <xdr:rowOff>251460</xdr:rowOff>
        </xdr:from>
        <xdr:to>
          <xdr:col>50</xdr:col>
          <xdr:colOff>0</xdr:colOff>
          <xdr:row>26</xdr:row>
          <xdr:rowOff>7620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ΑΝΟΔΙΚΕΣ - Πώληση Διπλή Τιμή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exceljet.net/excel-functions/excel-trunc-function" TargetMode="External"/><Relationship Id="rId18" Type="http://schemas.openxmlformats.org/officeDocument/2006/relationships/hyperlink" Target="https://exceljet.net/excel-functions/excel-trunc-function" TargetMode="External"/><Relationship Id="rId26" Type="http://schemas.openxmlformats.org/officeDocument/2006/relationships/hyperlink" Target="https://exceljet.net/excel-functions/excel-trunc-function" TargetMode="External"/><Relationship Id="rId39" Type="http://schemas.openxmlformats.org/officeDocument/2006/relationships/hyperlink" Target="https://exceljet.net/excel-functions/excel-trunc-function" TargetMode="External"/><Relationship Id="rId21" Type="http://schemas.openxmlformats.org/officeDocument/2006/relationships/hyperlink" Target="https://exceljet.net/excel-functions/excel-trunc-function" TargetMode="External"/><Relationship Id="rId34" Type="http://schemas.openxmlformats.org/officeDocument/2006/relationships/hyperlink" Target="https://exceljet.net/excel-functions/excel-trunc-function" TargetMode="External"/><Relationship Id="rId42" Type="http://schemas.openxmlformats.org/officeDocument/2006/relationships/hyperlink" Target="https://exceljet.net/excel-functions/excel-trunc-function" TargetMode="External"/><Relationship Id="rId47" Type="http://schemas.openxmlformats.org/officeDocument/2006/relationships/hyperlink" Target="https://exceljet.net/excel-functions/excel-trunc-function" TargetMode="External"/><Relationship Id="rId50" Type="http://schemas.openxmlformats.org/officeDocument/2006/relationships/drawing" Target="../drawings/drawing1.xml"/><Relationship Id="rId55" Type="http://schemas.openxmlformats.org/officeDocument/2006/relationships/ctrlProp" Target="../ctrlProps/ctrlProp4.xml"/><Relationship Id="rId7" Type="http://schemas.openxmlformats.org/officeDocument/2006/relationships/hyperlink" Target="https://exceljet.net/excel-functions/excel-trunc-function" TargetMode="External"/><Relationship Id="rId2" Type="http://schemas.openxmlformats.org/officeDocument/2006/relationships/hyperlink" Target="https://exceljet.net/excel-functions/excel-trunc-function" TargetMode="External"/><Relationship Id="rId16" Type="http://schemas.openxmlformats.org/officeDocument/2006/relationships/hyperlink" Target="https://exceljet.net/excel-functions/excel-trunc-function" TargetMode="External"/><Relationship Id="rId20" Type="http://schemas.openxmlformats.org/officeDocument/2006/relationships/hyperlink" Target="https://exceljet.net/excel-functions/excel-trunc-function" TargetMode="External"/><Relationship Id="rId29" Type="http://schemas.openxmlformats.org/officeDocument/2006/relationships/hyperlink" Target="https://exceljet.net/excel-functions/excel-trunc-function" TargetMode="External"/><Relationship Id="rId41" Type="http://schemas.openxmlformats.org/officeDocument/2006/relationships/hyperlink" Target="https://exceljet.net/excel-functions/excel-trunc-function" TargetMode="External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1" Type="http://schemas.openxmlformats.org/officeDocument/2006/relationships/hyperlink" Target="https://exceljet.net/excel-functions/excel-trunc-function" TargetMode="External"/><Relationship Id="rId6" Type="http://schemas.openxmlformats.org/officeDocument/2006/relationships/hyperlink" Target="https://exceljet.net/excel-functions/excel-trunc-function" TargetMode="External"/><Relationship Id="rId11" Type="http://schemas.openxmlformats.org/officeDocument/2006/relationships/hyperlink" Target="https://exceljet.net/excel-functions/excel-trunc-function" TargetMode="External"/><Relationship Id="rId24" Type="http://schemas.openxmlformats.org/officeDocument/2006/relationships/hyperlink" Target="https://exceljet.net/excel-functions/excel-trunc-function" TargetMode="External"/><Relationship Id="rId32" Type="http://schemas.openxmlformats.org/officeDocument/2006/relationships/hyperlink" Target="https://exceljet.net/excel-functions/excel-trunc-function" TargetMode="External"/><Relationship Id="rId37" Type="http://schemas.openxmlformats.org/officeDocument/2006/relationships/hyperlink" Target="https://exceljet.net/excel-functions/excel-trunc-function" TargetMode="External"/><Relationship Id="rId40" Type="http://schemas.openxmlformats.org/officeDocument/2006/relationships/hyperlink" Target="https://exceljet.net/excel-functions/excel-trunc-function" TargetMode="External"/><Relationship Id="rId45" Type="http://schemas.openxmlformats.org/officeDocument/2006/relationships/hyperlink" Target="https://exceljet.net/excel-functions/excel-trunc-function" TargetMode="External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5" Type="http://schemas.openxmlformats.org/officeDocument/2006/relationships/hyperlink" Target="https://exceljet.net/excel-functions/excel-trunc-function" TargetMode="External"/><Relationship Id="rId15" Type="http://schemas.openxmlformats.org/officeDocument/2006/relationships/hyperlink" Target="https://exceljet.net/excel-functions/excel-trunc-function" TargetMode="External"/><Relationship Id="rId23" Type="http://schemas.openxmlformats.org/officeDocument/2006/relationships/hyperlink" Target="https://exceljet.net/excel-functions/excel-trunc-function" TargetMode="External"/><Relationship Id="rId28" Type="http://schemas.openxmlformats.org/officeDocument/2006/relationships/hyperlink" Target="https://exceljet.net/excel-functions/excel-trunc-function" TargetMode="External"/><Relationship Id="rId36" Type="http://schemas.openxmlformats.org/officeDocument/2006/relationships/hyperlink" Target="https://exceljet.net/excel-functions/excel-trunc-function" TargetMode="External"/><Relationship Id="rId49" Type="http://schemas.openxmlformats.org/officeDocument/2006/relationships/printerSettings" Target="../printerSettings/printerSettings1.bin"/><Relationship Id="rId57" Type="http://schemas.openxmlformats.org/officeDocument/2006/relationships/ctrlProp" Target="../ctrlProps/ctrlProp6.xml"/><Relationship Id="rId61" Type="http://schemas.openxmlformats.org/officeDocument/2006/relationships/ctrlProp" Target="../ctrlProps/ctrlProp10.xml"/><Relationship Id="rId10" Type="http://schemas.openxmlformats.org/officeDocument/2006/relationships/hyperlink" Target="https://exceljet.net/excel-functions/excel-trunc-function" TargetMode="External"/><Relationship Id="rId19" Type="http://schemas.openxmlformats.org/officeDocument/2006/relationships/hyperlink" Target="https://exceljet.net/excel-functions/excel-trunc-function" TargetMode="External"/><Relationship Id="rId31" Type="http://schemas.openxmlformats.org/officeDocument/2006/relationships/hyperlink" Target="https://exceljet.net/excel-functions/excel-trunc-function" TargetMode="External"/><Relationship Id="rId44" Type="http://schemas.openxmlformats.org/officeDocument/2006/relationships/hyperlink" Target="https://exceljet.net/excel-functions/excel-trunc-function" TargetMode="Externa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4" Type="http://schemas.openxmlformats.org/officeDocument/2006/relationships/hyperlink" Target="https://exceljet.net/excel-functions/excel-trunc-function" TargetMode="External"/><Relationship Id="rId9" Type="http://schemas.openxmlformats.org/officeDocument/2006/relationships/hyperlink" Target="https://exceljet.net/excel-functions/excel-trunc-function" TargetMode="External"/><Relationship Id="rId14" Type="http://schemas.openxmlformats.org/officeDocument/2006/relationships/hyperlink" Target="https://exceljet.net/excel-functions/excel-trunc-function" TargetMode="External"/><Relationship Id="rId22" Type="http://schemas.openxmlformats.org/officeDocument/2006/relationships/hyperlink" Target="https://exceljet.net/excel-functions/excel-trunc-function" TargetMode="External"/><Relationship Id="rId27" Type="http://schemas.openxmlformats.org/officeDocument/2006/relationships/hyperlink" Target="https://exceljet.net/excel-functions/excel-trunc-function" TargetMode="External"/><Relationship Id="rId30" Type="http://schemas.openxmlformats.org/officeDocument/2006/relationships/hyperlink" Target="https://exceljet.net/excel-functions/excel-trunc-function" TargetMode="External"/><Relationship Id="rId35" Type="http://schemas.openxmlformats.org/officeDocument/2006/relationships/hyperlink" Target="https://exceljet.net/excel-functions/excel-trunc-function" TargetMode="External"/><Relationship Id="rId43" Type="http://schemas.openxmlformats.org/officeDocument/2006/relationships/hyperlink" Target="https://exceljet.net/excel-functions/excel-trunc-function" TargetMode="External"/><Relationship Id="rId48" Type="http://schemas.openxmlformats.org/officeDocument/2006/relationships/hyperlink" Target="https://exceljet.net/excel-functions/excel-trunc-function" TargetMode="External"/><Relationship Id="rId56" Type="http://schemas.openxmlformats.org/officeDocument/2006/relationships/ctrlProp" Target="../ctrlProps/ctrlProp5.xml"/><Relationship Id="rId8" Type="http://schemas.openxmlformats.org/officeDocument/2006/relationships/hyperlink" Target="https://exceljet.net/excel-functions/excel-trunc-function" TargetMode="External"/><Relationship Id="rId51" Type="http://schemas.openxmlformats.org/officeDocument/2006/relationships/vmlDrawing" Target="../drawings/vmlDrawing1.vml"/><Relationship Id="rId3" Type="http://schemas.openxmlformats.org/officeDocument/2006/relationships/hyperlink" Target="https://exceljet.net/excel-functions/excel-trunc-function" TargetMode="External"/><Relationship Id="rId12" Type="http://schemas.openxmlformats.org/officeDocument/2006/relationships/hyperlink" Target="https://exceljet.net/excel-functions/excel-trunc-function" TargetMode="External"/><Relationship Id="rId17" Type="http://schemas.openxmlformats.org/officeDocument/2006/relationships/hyperlink" Target="https://exceljet.net/excel-functions/excel-trunc-function" TargetMode="External"/><Relationship Id="rId25" Type="http://schemas.openxmlformats.org/officeDocument/2006/relationships/hyperlink" Target="https://exceljet.net/excel-functions/excel-trunc-function" TargetMode="External"/><Relationship Id="rId33" Type="http://schemas.openxmlformats.org/officeDocument/2006/relationships/hyperlink" Target="https://exceljet.net/excel-functions/excel-trunc-function" TargetMode="External"/><Relationship Id="rId38" Type="http://schemas.openxmlformats.org/officeDocument/2006/relationships/hyperlink" Target="https://exceljet.net/excel-functions/excel-trunc-function" TargetMode="External"/><Relationship Id="rId46" Type="http://schemas.openxmlformats.org/officeDocument/2006/relationships/hyperlink" Target="https://exceljet.net/excel-functions/excel-trunc-function" TargetMode="External"/><Relationship Id="rId59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___1"/>
  <dimension ref="A2:CE45"/>
  <sheetViews>
    <sheetView tabSelected="1" zoomScale="70" zoomScaleNormal="70" workbookViewId="0">
      <selection activeCell="AZ20" sqref="AZ20"/>
    </sheetView>
  </sheetViews>
  <sheetFormatPr defaultRowHeight="14.4" x14ac:dyDescent="0.3"/>
  <cols>
    <col min="2" max="2" width="10.88671875" customWidth="1"/>
    <col min="3" max="3" width="10" customWidth="1"/>
    <col min="4" max="4" width="9.33203125" customWidth="1"/>
    <col min="5" max="5" width="10" customWidth="1"/>
    <col min="6" max="6" width="13.6640625" customWidth="1"/>
    <col min="7" max="7" width="15.6640625" customWidth="1"/>
    <col min="8" max="8" width="7.6640625" customWidth="1"/>
    <col min="9" max="9" width="15.6640625" customWidth="1"/>
    <col min="10" max="10" width="7.6640625" customWidth="1"/>
    <col min="11" max="11" width="15.6640625" customWidth="1"/>
    <col min="12" max="12" width="7.6640625" customWidth="1"/>
    <col min="13" max="13" width="15.6640625" customWidth="1"/>
    <col min="14" max="14" width="7.6640625" customWidth="1"/>
    <col min="15" max="15" width="15.6640625" customWidth="1"/>
    <col min="16" max="16" width="7.6640625" customWidth="1"/>
    <col min="17" max="17" width="15.6640625" customWidth="1"/>
    <col min="18" max="18" width="7.6640625" customWidth="1"/>
    <col min="19" max="24" width="16" hidden="1" customWidth="1"/>
    <col min="25" max="31" width="8.5546875" hidden="1" customWidth="1"/>
    <col min="32" max="32" width="15.5546875" hidden="1" customWidth="1"/>
    <col min="33" max="33" width="16.5546875" hidden="1" customWidth="1"/>
    <col min="34" max="34" width="10" hidden="1" customWidth="1"/>
    <col min="35" max="35" width="13.88671875" hidden="1" customWidth="1"/>
    <col min="36" max="36" width="9.109375" hidden="1" customWidth="1"/>
    <col min="37" max="37" width="13.6640625" hidden="1" customWidth="1"/>
    <col min="38" max="38" width="16.33203125" hidden="1" customWidth="1"/>
    <col min="39" max="39" width="16.44140625" hidden="1" customWidth="1"/>
    <col min="40" max="40" width="11" hidden="1" customWidth="1"/>
    <col min="41" max="41" width="9.109375" hidden="1" customWidth="1"/>
    <col min="42" max="42" width="16.88671875" hidden="1" customWidth="1"/>
    <col min="43" max="44" width="14.109375" hidden="1" customWidth="1"/>
    <col min="45" max="46" width="14.109375" customWidth="1"/>
    <col min="81" max="81" width="10" customWidth="1"/>
    <col min="82" max="82" width="9.5546875" customWidth="1"/>
    <col min="83" max="83" width="10.44140625" customWidth="1"/>
  </cols>
  <sheetData>
    <row r="2" spans="1:83" ht="15.75" thickBot="1" x14ac:dyDescent="0.3"/>
    <row r="3" spans="1:83" ht="37.5" customHeight="1" thickTop="1" x14ac:dyDescent="0.3">
      <c r="A3" s="21"/>
      <c r="B3" s="21"/>
      <c r="C3" s="21"/>
      <c r="D3" s="21"/>
      <c r="E3" s="21"/>
      <c r="F3" s="93" t="s">
        <v>0</v>
      </c>
      <c r="G3" s="107" t="s">
        <v>1</v>
      </c>
      <c r="H3" s="108"/>
      <c r="I3" s="107" t="s">
        <v>2</v>
      </c>
      <c r="J3" s="108"/>
      <c r="K3" s="107" t="s">
        <v>3</v>
      </c>
      <c r="L3" s="108"/>
      <c r="M3" s="107" t="s">
        <v>4</v>
      </c>
      <c r="N3" s="108"/>
      <c r="O3" s="107" t="s">
        <v>5</v>
      </c>
      <c r="P3" s="108"/>
      <c r="Q3" s="107" t="s">
        <v>26</v>
      </c>
      <c r="R3" s="108"/>
      <c r="S3" s="54" t="s">
        <v>1</v>
      </c>
      <c r="T3" s="49" t="s">
        <v>2</v>
      </c>
      <c r="U3" s="49" t="s">
        <v>3</v>
      </c>
      <c r="V3" s="49" t="s">
        <v>4</v>
      </c>
      <c r="W3" s="49" t="s">
        <v>5</v>
      </c>
      <c r="X3" s="53" t="s">
        <v>26</v>
      </c>
      <c r="Y3" s="58"/>
      <c r="Z3" s="58"/>
      <c r="AA3" s="58"/>
      <c r="AB3" s="58"/>
      <c r="AC3" s="58"/>
      <c r="AD3" s="58"/>
      <c r="AP3" s="101" t="s">
        <v>17</v>
      </c>
      <c r="AQ3" s="101" t="s">
        <v>24</v>
      </c>
      <c r="AR3" s="105" t="s">
        <v>27</v>
      </c>
      <c r="AS3" s="103" t="s">
        <v>25</v>
      </c>
      <c r="AT3" s="99" t="s">
        <v>23</v>
      </c>
    </row>
    <row r="4" spans="1:83" ht="42" customHeight="1" thickBot="1" x14ac:dyDescent="0.35">
      <c r="A4" s="22"/>
      <c r="B4" s="32" t="s">
        <v>18</v>
      </c>
      <c r="C4" s="32" t="s">
        <v>21</v>
      </c>
      <c r="D4" s="32" t="s">
        <v>22</v>
      </c>
      <c r="E4" s="92" t="s">
        <v>20</v>
      </c>
      <c r="F4" s="94" t="s">
        <v>16</v>
      </c>
      <c r="G4" s="87" t="s">
        <v>16</v>
      </c>
      <c r="H4" s="88" t="s">
        <v>28</v>
      </c>
      <c r="I4" s="87" t="s">
        <v>16</v>
      </c>
      <c r="J4" s="88" t="s">
        <v>28</v>
      </c>
      <c r="K4" s="87" t="s">
        <v>16</v>
      </c>
      <c r="L4" s="88" t="s">
        <v>28</v>
      </c>
      <c r="M4" s="87" t="s">
        <v>16</v>
      </c>
      <c r="N4" s="88" t="s">
        <v>28</v>
      </c>
      <c r="O4" s="87" t="s">
        <v>16</v>
      </c>
      <c r="P4" s="88" t="s">
        <v>28</v>
      </c>
      <c r="Q4" s="87" t="s">
        <v>16</v>
      </c>
      <c r="R4" s="88" t="s">
        <v>28</v>
      </c>
      <c r="S4" s="55"/>
      <c r="T4" s="40"/>
      <c r="U4" s="40"/>
      <c r="V4" s="40"/>
      <c r="W4" s="40"/>
      <c r="X4" s="40"/>
      <c r="Y4" s="59"/>
      <c r="Z4" s="59"/>
      <c r="AA4" s="59"/>
      <c r="AB4" s="59"/>
      <c r="AC4" s="59"/>
      <c r="AD4" s="59"/>
      <c r="AP4" s="102"/>
      <c r="AQ4" s="102"/>
      <c r="AR4" s="106"/>
      <c r="AS4" s="104"/>
      <c r="AT4" s="100"/>
    </row>
    <row r="5" spans="1:83" ht="18.600000000000001" thickTop="1" x14ac:dyDescent="0.3">
      <c r="A5" s="10">
        <v>1</v>
      </c>
      <c r="B5" s="34">
        <v>60</v>
      </c>
      <c r="C5" s="34">
        <f t="shared" ref="C5:C26" si="0">D5*E5</f>
        <v>0</v>
      </c>
      <c r="D5" s="34"/>
      <c r="E5" s="4">
        <v>50</v>
      </c>
      <c r="F5" s="89">
        <f>9-SUM(G5,I5,K5,M5,O5,Q5)</f>
        <v>9</v>
      </c>
      <c r="G5" s="81"/>
      <c r="H5" s="82" t="str">
        <f>IF(F5&lt;&gt;9,IF(D5=1,IF($AS$5=G3,0,IF(G5="",INDEX(Φύλλο2!$T$3:$T$11,9-F5,1),INDEX(Φύλλο2!$U$3:$X$11,9-F5,G5))),IF(D5=2,IF($AS$5=G3,0,IF(G5="",INDEX(Φύλλο2!$AB$3:$AB$11,9-F5,1),INDEX(Φύλλο2!$AC$3:$AF$11,9-F5,G5))),IF(D5=3,IF($AS$5=G3,0,IF(G5="",INDEX(Φύλλο2!$AJ$3:$AJ$11,9-F5,1),INDEX(Φύλλο2!$AK$3:$AN$11,9-F5,G5))),IF(D5=4,IF($AS$5=G3,0,IF(G5="",INDEX(Φύλλο2!$AR$3:$AR$11,9-F5,1),INDEX(Φύλλο2!$AS$3:$AV$11,9-F5,G5))),IF(D5=5,IF($AS$5=G3,0,IF(G5="",INDEX(Φύλλο2!$AZ$3:$AZ$11,9-F5,1),INDEX(Φύλλο2!$BA$3:$BD$11,9-F5,G5))),IF($D5=0,IF($AS$5=G3,0,IF($AS$5&lt;&gt;$AS$6,IF(G5="",INDEX(Φύλλο2!$D$3:$D$11,9-F5,1),INDEX(Φύλλο2!$E$3:$H$11,9-F5,G5)),IF(G5="",INDEX(Φύλλο2!$L$3:$L$11,9-F5,1),INDEX(Φύλλο2!$M$3:$P$11,9-F5,G5)))))))))),"")</f>
        <v/>
      </c>
      <c r="I5" s="81"/>
      <c r="J5" s="82" t="str">
        <f>IF(F5&lt;&gt;9,IF(D5=1,IF($AS$5=I$3,0,IF(I5="",INDEX(Φύλλο2!$T$3:$T$11,9-F5,1),INDEX(Φύλλο2!$U$3:$X$11,9-F5,I5))),IF(D5=2,IF($AS$5=I$3,0,IF(I5="",INDEX(Φύλλο2!$AB$3:$AB$11,9-F5,1),INDEX(Φύλλο2!$AC$3:$AF$11,9-F5,I5))),IF(D5=3,IF($AS$5=I$3,0,IF(I5="",INDEX(Φύλλο2!$AJ$3:$AJ$11,9-F5,1),INDEX(Φύλλο2!$AK$3:$AN$11,9-F5,I5))),IF(D5=4,IF($AS$5=I$3,0,IF(I5="",INDEX(Φύλλο2!$AR$3:$AR$11,9-F5,1),INDEX(Φύλλο2!$AS$3:$AV$11,9-F5,I5))),IF(D5=5,IF($AS$5=I$3,0,IF(I5="",INDEX(Φύλλο2!$AZ$3:$AZ$11,9-F5,1),INDEX(Φύλλο2!$BA$3:$BD$11,9-F5,I5))),IF($D5=0,IF($AS$5=I$3,0,IF($AS$5&lt;&gt;$AS$6,IF(I5="",INDEX(Φύλλο2!$D$3:$D$11,9-F5,1),INDEX(Φύλλο2!$E$3:$H$11,9-F5,I5)),IF(I5="",INDEX(Φύλλο2!$L$3:$L$11,9-F5,1),INDEX(Φύλλο2!$M$3:$P$11,9-F5,I5)))))))))),"")</f>
        <v/>
      </c>
      <c r="K5" s="81"/>
      <c r="L5" s="82" t="str">
        <f>IF(F5&lt;&gt;9,IF(D5=1,IF($AS$5=K$3,0,IF(K5="",INDEX(Φύλλο2!$T$3:$T$11,9-F5,1),INDEX(Φύλλο2!$U$3:$X$11,9-F5,K5))),IF(D5=2,IF($AS$5=K$3,0,IF(K5="",INDEX(Φύλλο2!$AB$3:$AB$11,9-F5,1),INDEX(Φύλλο2!$AC$3:$AF$11,9-F5,K5))),IF(D5=3,IF($AS$5=K$3,0,IF(K5="",INDEX(Φύλλο2!$AJ$3:$AJ$11,9-F5,1),INDEX(Φύλλο2!$AK$3:$AN$11,9-F5,K5))),IF(D5=4,IF($AS$5=K$3,0,IF(K5="",INDEX(Φύλλο2!$AR$3:$AR$11,9-F5,1),INDEX(Φύλλο2!$AS$3:$AV$11,9-F5,K5))),IF(D5=5,IF($AS$5=K$3,0,IF(K5="",INDEX(Φύλλο2!$AZ$3:$AZ$11,9-F5,1),INDEX(Φύλλο2!$BA$3:$BD$11,9-F5,K5))),IF($D5=0,IF($AS$5=K$3,0,IF($AS$5&lt;&gt;$AS$6,IF(K5="",INDEX(Φύλλο2!$D$3:$D$11,9-F5,1),INDEX(Φύλλο2!$E$3:$H$11,9-F5,K5)),IF(K5="",INDEX(Φύλλο2!$L$3:$L$11,9-F5,1),INDEX(Φύλλο2!$M$3:$P$11,9-F5,K5)))))))))),"")</f>
        <v/>
      </c>
      <c r="M5" s="81"/>
      <c r="N5" s="82" t="str">
        <f>IF(F5&lt;&gt;9,IF(D5=1,IF($AS$5=M$3,0,IF(M5="",INDEX(Φύλλο2!$T$3:$T$11,9-F5,1),INDEX(Φύλλο2!$U$3:$X$11,9-F5,M5))),IF(D5=2,IF($AS$5=M$3,0,IF(M5="",INDEX(Φύλλο2!$AB$3:$AB$11,9-F5,1),INDEX(Φύλλο2!$AC$3:$AF$11,9-F5,M5))),IF(D5=3,IF($AS$5=M$3,0,IF(M5="",INDEX(Φύλλο2!$AJ$3:$AJ$11,9-F5,1),INDEX(Φύλλο2!$AK$3:$AN$11,9-F5,M5))),IF(D5=4,IF($AS$5=M$3,0,IF(M5="",INDEX(Φύλλο2!$AR$3:$AR$11,9-F5,1),INDEX(Φύλλο2!$AS$3:$AV$11,9-F5,M5))),IF(D5=5,IF($AS$5=M$3,0,IF(M5="",INDEX(Φύλλο2!$AZ$3:$AZ$11,9-F5,1),INDEX(Φύλλο2!$BA$3:$BD$11,9-F5,M5))),IF($D5=0,IF($AS$5=M$3,0,IF($AS$5&lt;&gt;$AS$6,IF(M5="",INDEX(Φύλλο2!$D$3:$D$11,9-F5,1),INDEX(Φύλλο2!$E$3:$H$11,9-F5,M5)),IF(M5="",INDEX(Φύλλο2!$L$3:$L$11,9-F5,1),INDEX(Φύλλο2!$M$3:$P$11,9-F5,M5)))))))))),"")</f>
        <v/>
      </c>
      <c r="O5" s="81"/>
      <c r="P5" s="82" t="str">
        <f>IF(F5&lt;&gt;9,IF(D5=1,IF($AS$5=O$3,0,IF(O5="",INDEX(Φύλλο2!$T$3:$T$11,9-F5,1),INDEX(Φύλλο2!$U$3:$X$11,9-F5,O5))),IF(D5=2,IF($AS$5=O$3,0,IF(O5="",INDEX(Φύλλο2!$AB$3:$AB$11,9-F5,1),INDEX(Φύλλο2!$AC$3:$AF$11,9-F5,O5))),IF(D5=3,IF($AS$5=O$3,0,IF(O5="",INDEX(Φύλλο2!$AJ$3:$AJ$11,9-F5,1),INDEX(Φύλλο2!$AK$3:$AN$11,9-F5,O5))),IF(D5=4,IF($AS$5=O$3,0,IF(O5="",INDEX(Φύλλο2!$AR$3:$AR$11,9-F5,1),INDEX(Φύλλο2!$AS$3:$AV$11,9-F5,O5))),IF(D5=5,IF($AS$5=O$3,0,IF(O5="",INDEX(Φύλλο2!$AZ$3:$AZ$11,9-F5,1),INDEX(Φύλλο2!$BA$3:$BD$11,9-F5,O5))),IF($D5=0,IF($AS$5=O$3,0,IF($AS$5&lt;&gt;$AS$6,IF(O5="",INDEX(Φύλλο2!$D$3:$D$11,9-F5,1),INDEX(Φύλλο2!$E$3:$H$11,9-F5,O5)),IF(O5="",INDEX(Φύλλο2!$L$3:$L$11,9-F5,1),INDEX(Φύλλο2!$M$3:$P$11,9-F5,O5)))))))))),"")</f>
        <v/>
      </c>
      <c r="Q5" s="78"/>
      <c r="R5" s="74" t="str">
        <f>IF(F5&lt;&gt;9,IF(D5=1,IF($AS$5=Q$3,0,IF(Q5="",INDEX(Φύλλο2!$T$3:$T$11,9-F5,1),INDEX(Φύλλο2!$U$3:$X$11,9-F5,Q5))),IF(D5=2,IF($AS$5=Q$3,0,IF(Q5="",INDEX(Φύλλο2!$AB$3:$AB$11,9-F5,1),INDEX(Φύλλο2!$AC$3:$AF$11,9-F5,Q5))),IF(D5=3,IF($AS$5=Q$3,0,IF(Q5="",INDEX(Φύλλο2!$AJ$3:$AJ$11,9-F5,1),INDEX(Φύλλο2!$AK$3:$AN$11,9-F5,Q5))),IF(D5=4,IF($AS$5=Q$3,0,IF(Q5="",INDEX(Φύλλο2!$AR$3:$AR$11,9-F5,1),INDEX(Φύλλο2!$AS$3:$AV$11,9-F5,Q5))),IF(D5=5,IF($AS$5=Q$3,0,IF(Q5="",INDEX(Φύλλο2!$AZ$3:$AZ$11,9-F5,1),INDEX(Φύλλο2!$BA$3:$BD$11,9-F5,Q5))),IF($D5=0,IF($AS$5=Q$3,0,IF($AS$5&lt;&gt;$AS$6,IF(Q5="",INDEX(Φύλλο2!$D$3:$D$11,9-F5,1),INDEX(Φύλλο2!$E$3:$H$11,9-F5,Q5)),IF(Q5="",INDEX(Φύλλο2!$L$3:$L$11,9-F5,1),INDEX(Φύλλο2!$M$3:$P$11,9-F5,Q5)))))))))),"")</f>
        <v/>
      </c>
      <c r="S5" s="62"/>
      <c r="T5" s="61"/>
      <c r="U5" s="61"/>
      <c r="V5" s="61"/>
      <c r="W5" s="61"/>
      <c r="X5" s="66"/>
      <c r="Y5" s="60">
        <f>IF(G5&lt;&gt;"",RANK(G5,Rank1,0),6)</f>
        <v>6</v>
      </c>
      <c r="Z5" s="60">
        <f>IF(I5&lt;&gt;"",RANK(I5,Rank1,0),6)</f>
        <v>6</v>
      </c>
      <c r="AA5" s="60">
        <f>IF(K5&lt;&gt;"",RANK(K5,Rank1,0),6)</f>
        <v>6</v>
      </c>
      <c r="AB5" s="60">
        <f>IF(M5&lt;&gt;"",RANK(M5,Rank1,0),6)</f>
        <v>6</v>
      </c>
      <c r="AC5" s="60">
        <f>IF(O5&lt;&gt;"",RANK(O5,Rank1,0),6)</f>
        <v>6</v>
      </c>
      <c r="AD5" s="60">
        <f>IF(Q5&lt;&gt;"",RANK(Q5,Rank1,0),6)</f>
        <v>6</v>
      </c>
      <c r="AE5" s="60">
        <f>IF(Y5=1,IF(Z5=1,MIN(S5,T5),IF(AA5=1,MIN(S5,U5),IF(AB5=1,MIN(S5,V5),IF(AC5=1,MIN(S5,W5),IF(AD5=1,MIN(S5,X5),S5))))),IF(Z5=1,IF(AA5=1,MIN(T5,U5),IF(AB5=1,MIN(T5,V5),IF(AC5=1,MIN(T5,W5),IF(AD5=1,MIN(T5,X5),T5)))),IF(AA5=1,IF(AB5=1,MIN(U5,V5),IF(AC5=1,MIN(U5,W5),IF(AD5=1,MIN(U5,X5),U5))),IF(AB5=1,IF(AC5=1,MIN(V5,W5),IF(AD5=1,MIN(V5,X5),V5)),IF(AC5=1,IF(AD5=1,MIN(W5,X5),W5),X5)))))</f>
        <v>0</v>
      </c>
      <c r="AF5" s="1">
        <f ca="1">NOW()</f>
        <v>44454.006083796296</v>
      </c>
      <c r="AG5" s="2">
        <f ca="1">AF5-TRUNC(AF5)</f>
        <v>6.0837962955702096E-3</v>
      </c>
      <c r="AH5">
        <f ca="1">ROUNDDOWN(AG5,6)</f>
        <v>6.0829999999999999E-3</v>
      </c>
      <c r="AI5">
        <f ca="1">AH5/0.000004</f>
        <v>1520.75</v>
      </c>
      <c r="AJ5" s="2">
        <f ca="1">AI5-TRUNC(AI5)</f>
        <v>0.75</v>
      </c>
      <c r="AK5" s="7">
        <f ca="1">NOW()-1.7</f>
        <v>44452.306083796298</v>
      </c>
      <c r="AL5" s="5">
        <f ca="1">AK5-TRUNC(AK5)</f>
        <v>0.30608379629848059</v>
      </c>
      <c r="AM5" s="6">
        <f ca="1">ROUNDDOWN(AL5,5)</f>
        <v>0.30608000000000002</v>
      </c>
      <c r="AN5">
        <f ca="1">AM5/0.00002</f>
        <v>15304</v>
      </c>
      <c r="AO5" s="2">
        <f ca="1">AN5-TRUNC(AN5)</f>
        <v>0</v>
      </c>
      <c r="AP5" s="34">
        <v>13</v>
      </c>
      <c r="AQ5" s="34" t="str">
        <f t="shared" ref="AQ5:AQ26" si="1">IF(SUM(G5,I5,K5,M5,O5,Q5)=0,"",IF(AO5=0,IF(AJ5=0,AP5,IF(AJ5=0.25,AP5-1,IF(AJ5=0.5,AP5-2,IF(AJ5=0.75,AP5-3,AP5-4)))),IF(AJ5=0,AP5+1,IF(AJ5=0.25,AP5+2,IF(AJ5=0.5,AP5+3,IF(AJ5=0.75,AP5+4,AP5+5))))))</f>
        <v/>
      </c>
      <c r="AR5" s="37">
        <f>IF(COUNT(G5,I5,K5,M5,O5,Q5)=0,0,IF(COUNT(G5,I5,K5,M5,O5,Q5)=6,IF(F5=0,17,IF(F5=1,13,IF(F5=2,10,8))),IF(COUNT(G5,I5,K5,M5,O5,Q5)=5,IF(F5=0,13,IF(F5=1,10,IF(F5=2,8,IF(F5=3,6,5)))),IF(COUNT(G5,I5,K5,M5,O5,Q5)=4,IF(F5=0,9,IF(F5=1,8,IF(F5=2,6,IF(F5=3,5,IF(F5=4,3,2))))),IF(COUNT(G5,I5,K5,M5,O5,Q5)=3,IF(F5=0,6,IF(F5=1,5,IF(F5=2,5,IF(F5=3,4,IF(F5=4,2,IF(F5=5,1,0)))))),IF(COUNT(G5,I5,K5,M5,O5,Q5)=2,IF(F5=4,1,IF(F5=5,0,IF(F5=6,-2,IF(F5=7,-3,2)))),IF(COUNT(G5,I5,K5,M5,O5,Q5)=1,IF(F5=5,-2,IF(F5=6,-3,IF(F5=7,-4,IF(F5=8,-6,0)))))))))))</f>
        <v>0</v>
      </c>
      <c r="AS5" s="67" t="str">
        <f>IF(F5&lt;&gt;9,INDEX(S3:X5,1,MATCH(AE5,S5:X5,0)),"-")</f>
        <v>-</v>
      </c>
      <c r="AT5" s="95">
        <f>IF(AQ5="",0,IF(AS5=AS6,AQ5+9,AQ5))+AR5</f>
        <v>0</v>
      </c>
      <c r="AZ5" s="8"/>
      <c r="BR5" s="8" t="s">
        <v>19</v>
      </c>
    </row>
    <row r="6" spans="1:83" ht="19.5" thickBot="1" x14ac:dyDescent="0.3">
      <c r="A6" s="17">
        <v>2</v>
      </c>
      <c r="B6" s="35">
        <v>60</v>
      </c>
      <c r="C6" s="35">
        <f t="shared" si="0"/>
        <v>0</v>
      </c>
      <c r="D6" s="35"/>
      <c r="E6" s="20">
        <v>50</v>
      </c>
      <c r="F6" s="90">
        <f>9-SUM(G6,I6,K6,M6,O6,Q6)</f>
        <v>9</v>
      </c>
      <c r="G6" s="83"/>
      <c r="H6" s="84" t="str">
        <f>IF($F6&lt;&gt;9,IF($D6=1,IF($AS$6=G3,0,IF(G6="",INDEX(Φύλλο2!$T$15:$T$23,9-$F6,1),INDEX(Φύλλο2!$U$15:$X$23,9-$F6,G6))),IF($D6=2,IF($AS$6=G3,0,IF(G6="",INDEX(Φύλλο2!$AB$15:$AB$23,9-$F6,1),INDEX(Φύλλο2!$AC$15:$AF$23,9-$F6,G6))),IF($D6=3,IF($AS$6=G3,0,IF(G6="",INDEX(Φύλλο2!$AJ$15:$AJ$23,9-$F6,1),INDEX(Φύλλο2!$AK$15:$AN$23,9-$F6,G6))),IF($D6=4,IF($AS$6=G3,0,IF(G6="",INDEX(Φύλλο2!$AR$15:$AR$23,9-$F6,1),INDEX(Φύλλο2!$AS$15:$AV$23,9-$F6,G6))),IF($D6=5,IF($AS$6=G3,0,IF(G6="",INDEX(Φύλλο2!$AZ$15:$AZ$23,9-$F6,1),INDEX(Φύλλο2!$BA$15:$BD$23,9-$F6,G6))),IF($D6=0,IF($AS$6=G3,0,IF($AS$5&lt;&gt;$AS$6,IF(G6="",INDEX(Φύλλο2!$D$15:$D$23,9-$F6,1),INDEX(Φύλλο2!$E$15:$H$23,9-$F6,G6)),IF(G6="",INDEX(Φύλλο2!$L$15:$L$23,9-$F6,1),INDEX(Φύλλο2!$M$15:$P$23,9-$F6,G6)))))))))),"")</f>
        <v/>
      </c>
      <c r="I6" s="83"/>
      <c r="J6" s="84" t="str">
        <f>IF($F6&lt;&gt;9,IF($D6=1,IF($AS$6=I3,0,IF(I6="",INDEX(Φύλλο2!$T$15:$T$23,9-$F6,1),INDEX(Φύλλο2!$U$15:$X$23,9-$F6,I6))),IF($D6=2,IF($AS$6=I3,0,IF(I6="",INDEX(Φύλλο2!$AB$15:$AB$23,9-$F6,1),INDEX(Φύλλο2!$AC$15:$AF$23,9-$F6,I6))),IF($D6=3,IF($AS$6=I3,0,IF(I6="",INDEX(Φύλλο2!$AJ$15:$AJ$23,9-$F6,1),INDEX(Φύλλο2!$AK$15:$AN$23,9-$F6,I6))),IF($D6=4,IF($AS$6=I3,0,IF(I6="",INDEX(Φύλλο2!$AR$15:$AR$23,9-$F6,1),INDEX(Φύλλο2!$AS$15:$AV$23,9-$F6,I6))),IF($D6=5,IF($AS$6=I3,0,IF(I6="",INDEX(Φύλλο2!$AZ$15:$AZ$23,9-$F6,1),INDEX(Φύλλο2!$BA$15:$BD$23,9-$F6,I6))),IF($D6=0,IF($AS$6=I3,0,IF($AS$5&lt;&gt;$AS$6,IF(I6="",INDEX(Φύλλο2!$D$15:$D$23,9-$F6,1),INDEX(Φύλλο2!$E$15:$H$23,9-$F6,I6)),IF(I6="",INDEX(Φύλλο2!$L$15:$L$23,9-$F6,1),INDEX(Φύλλο2!$M$15:$P$23,9-$F6,I6)))))))))),"")</f>
        <v/>
      </c>
      <c r="K6" s="83"/>
      <c r="L6" s="84" t="str">
        <f>IF($F6&lt;&gt;9,IF($D6=1,IF($AS$6=K3,0,IF(K6="",INDEX(Φύλλο2!$T$15:$T$23,9-$F6,1),INDEX(Φύλλο2!$U$15:$X$23,9-$F6,K6))),IF($D6=2,IF($AS$6=K3,0,IF(K6="",INDEX(Φύλλο2!$AB$15:$AB$23,9-$F6,1),INDEX(Φύλλο2!$AC$15:$AF$23,9-$F6,K6))),IF($D6=3,IF($AS$6=K3,0,IF(K6="",INDEX(Φύλλο2!$AJ$15:$AJ$23,9-$F6,1),INDEX(Φύλλο2!$AK$15:$AN$23,9-$F6,K6))),IF($D6=4,IF($AS$6=K3,0,IF(K6="",INDEX(Φύλλο2!$AR$15:$AR$23,9-$F6,1),INDEX(Φύλλο2!$AS$15:$AV$23,9-$F6,K6))),IF($D6=5,IF($AS$6=K3,0,IF(K6="",INDEX(Φύλλο2!$AZ$15:$AZ$23,9-$F6,1),INDEX(Φύλλο2!$BA$15:$BD$23,9-$F6,K6))),IF($D6=0,IF($AS$6=K3,0,IF($AS$5&lt;&gt;$AS$6,IF(K6="",INDEX(Φύλλο2!$D$15:$D$23,9-$F6,1),INDEX(Φύλλο2!$E$15:$H$23,9-$F6,K6)),IF(K6="",INDEX(Φύλλο2!$L$15:$L$23,9-$F6,1),INDEX(Φύλλο2!$M$15:$P$23,9-$F6,K6)))))))))),"")</f>
        <v/>
      </c>
      <c r="M6" s="83"/>
      <c r="N6" s="84" t="str">
        <f>IF($F6&lt;&gt;9,IF($D6=1,IF($AS$6=M3,0,IF(M6="",INDEX(Φύλλο2!$T$15:$T$23,9-$F6,1),INDEX(Φύλλο2!$U$15:$X$23,9-$F6,M6))),IF($D6=2,IF($AS$6=M3,0,IF(M6="",INDEX(Φύλλο2!$AB$15:$AB$23,9-$F6,1),INDEX(Φύλλο2!$AC$15:$AF$23,9-$F6,M6))),IF($D6=3,IF($AS$6=M3,0,IF(M6="",INDEX(Φύλλο2!$AJ$15:$AJ$23,9-$F6,1),INDEX(Φύλλο2!$AK$15:$AN$23,9-$F6,M6))),IF($D6=4,IF($AS$6=M3,0,IF(M6="",INDEX(Φύλλο2!$AR$15:$AR$23,9-$F6,1),INDEX(Φύλλο2!$AS$15:$AV$23,9-$F6,M6))),IF($D6=5,IF($AS$6=M3,0,IF(M6="",INDEX(Φύλλο2!$AZ$15:$AZ$23,9-$F6,1),INDEX(Φύλλο2!$BA$15:$BD$23,9-$F6,M6))),IF($D6=0,IF($AS$6=M3,0,IF($AS$5&lt;&gt;$AS$6,IF(M6="",INDEX(Φύλλο2!$D$15:$D$23,9-$F6,1),INDEX(Φύλλο2!$E$15:$H$23,9-$F6,M6)),IF(M6="",INDEX(Φύλλο2!$L$15:$L$23,9-$F6,1),INDEX(Φύλλο2!$M$15:$P$23,9-$F6,M6)))))))))),"")</f>
        <v/>
      </c>
      <c r="O6" s="83"/>
      <c r="P6" s="84" t="str">
        <f>IF($F6&lt;&gt;9,IF($D6=1,IF($AS$6=O3,0,IF(O6="",INDEX(Φύλλο2!$T$15:$T$23,9-$F6,1),INDEX(Φύλλο2!$U$15:$X$23,9-$F6,O6))),IF($D6=2,IF($AS$6=O3,0,IF(O6="",INDEX(Φύλλο2!$AB$15:$AB$23,9-$F6,1),INDEX(Φύλλο2!$AC$15:$AF$23,9-$F6,O6))),IF($D6=3,IF($AS$6=O3,0,IF(O6="",INDEX(Φύλλο2!$AJ$15:$AJ$23,9-$F6,1),INDEX(Φύλλο2!$AK$15:$AN$23,9-$F6,O6))),IF($D6=4,IF($AS$6=O3,0,IF(O6="",INDEX(Φύλλο2!$AR$15:$AR$23,9-$F6,1),INDEX(Φύλλο2!$AS$15:$AV$23,9-$F6,O6))),IF($D6=5,IF($AS$6=O3,0,IF(O6="",INDEX(Φύλλο2!$AZ$15:$AZ$23,9-$F6,1),INDEX(Φύλλο2!$BA$15:$BD$23,9-$F6,O6))),IF($D6=0,IF($AS$6=O3,0,IF($AS$5&lt;&gt;$AS$6,IF(O6="",INDEX(Φύλλο2!$D$15:$D$23,9-$F6,1),INDEX(Φύλλο2!$E$15:$H$23,9-$F6,O6)),IF(O6="",INDEX(Φύλλο2!$L$15:$L$23,9-$F6,1),INDEX(Φύλλο2!$M$15:$P$23,9-$F6,O6)))))))))),"")</f>
        <v/>
      </c>
      <c r="Q6" s="79"/>
      <c r="R6" s="75" t="str">
        <f>IF($F6&lt;&gt;9,IF($D6=1,IF($AS$6=Q3,0,IF(Q6="",INDEX(Φύλλο2!$T$15:$T$23,9-$F6,1),INDEX(Φύλλο2!$U$15:$X$23,9-$F6,Q6))),IF($D6=2,IF($AS$6=Q3,0,IF(Q6="",INDEX(Φύλλο2!$AB$15:$AB$23,9-$F6,1),INDEX(Φύλλο2!$AC$15:$AF$23,9-$F6,Q6))),IF($D6=3,IF($AS$6=Q3,0,IF(Q6="",INDEX(Φύλλο2!$AJ$15:$AJ$23,9-$F6,1),INDEX(Φύλλο2!$AK$15:$AN$23,9-$F6,Q6))),IF($D6=4,IF($AS$6=Q3,0,IF(Q6="",INDEX(Φύλλο2!$AR$15:$AR$23,9-$F6,1),INDEX(Φύλλο2!$AS$15:$AV$23,9-$F6,Q6))),IF($D6=5,IF($AS$6=Q3,0,IF(Q6="",INDEX(Φύλλο2!$AZ$15:$AZ$23,9-$F6,1),INDEX(Φύλλο2!$BA$15:$BD$23,9-$F6,Q6))),IF($D6=0,IF($AS$6=Q3,0,IF($AS$5&lt;&gt;$AS$6,IF(Q6="",INDEX(Φύλλο2!$D$15:$D$23,9-$F6,1),INDEX(Φύλλο2!$E$15:$H$23,9-$F6,Q6)),IF(Q6="",INDEX(Φύλλο2!$L$15:$L$23,9-$F6,1),INDEX(Φύλλο2!$M$15:$P$23,9-$F6,Q6)))))))))),"")</f>
        <v/>
      </c>
      <c r="S6" s="70"/>
      <c r="T6" s="69"/>
      <c r="U6" s="69"/>
      <c r="V6" s="69"/>
      <c r="W6" s="38"/>
      <c r="X6" s="35"/>
      <c r="Y6" s="60">
        <f>IF(G6&lt;&gt;"",RANK(G6,Rank2,0),6)</f>
        <v>6</v>
      </c>
      <c r="Z6" s="60">
        <f>IF(I6&lt;&gt;"",RANK(I6,Rank2,0),6)</f>
        <v>6</v>
      </c>
      <c r="AA6" s="60">
        <f>IF(K6&lt;&gt;"",RANK(K6,Rank2,0),6)</f>
        <v>6</v>
      </c>
      <c r="AB6" s="60">
        <f>IF(M6&lt;&gt;"",RANK(M6,Rank2,0),6)</f>
        <v>6</v>
      </c>
      <c r="AC6" s="60">
        <f>IF(O6&lt;&gt;"",RANK(O6,Rank2,0),6)</f>
        <v>6</v>
      </c>
      <c r="AD6" s="60">
        <f>IF(Q6&lt;&gt;"",RANK(Q6,Rank2,0),6)</f>
        <v>6</v>
      </c>
      <c r="AE6" s="60">
        <f>IF(Y6=1,IF(Z6=1,MIN(S6,T6),IF(AA6=1,MIN(S6,U6),IF(AB6=1,MIN(S6,V6),IF(AC6=1,MIN(S6,W6),IF(AD6=1,MIN(S6,X6),S6))))),IF(Z6=1,IF(AA6=1,MIN(T6,U6),IF(AB6=1,MIN(T6,V6),IF(AC6=1,MIN(T6,W6),IF(AD6=1,MIN(T6,X6),T6)))),IF(AA6=1,IF(AB6=1,MIN(U6,V6),IF(AC6=1,MIN(U6,W6),IF(AD6=1,MIN(U6,X6),U6))),IF(AB6=1,IF(AC6=1,MIN(V6,W6),IF(AD6=1,MIN(V6,X6),V6)),IF(AC6=1,IF(AD6=1,MIN(W6,X6),W6),X6)))))</f>
        <v>0</v>
      </c>
      <c r="AF6" s="1">
        <f ca="1">NOW()</f>
        <v>44454.006083796296</v>
      </c>
      <c r="AG6" s="2">
        <f ca="1">AF6-TRUNC(AF6)</f>
        <v>6.0837962955702096E-3</v>
      </c>
      <c r="AH6">
        <f ca="1">ROUNDDOWN(AG6,7)</f>
        <v>6.0837E-3</v>
      </c>
      <c r="AI6">
        <f ca="1">AH6/0.0000004</f>
        <v>15209.25</v>
      </c>
      <c r="AJ6" s="2">
        <f ca="1">AI6-TRUNC(AI6)</f>
        <v>0.25</v>
      </c>
      <c r="AK6" s="7">
        <f t="shared" ref="AK6:AK26" ca="1" si="2">NOW()-1.7</f>
        <v>44452.306083796298</v>
      </c>
      <c r="AL6" s="5">
        <f t="shared" ref="AL6:AL26" ca="1" si="3">AF6-TRUNC(AF6)</f>
        <v>6.0837962955702096E-3</v>
      </c>
      <c r="AM6" s="6">
        <f t="shared" ref="AM6:AM26" ca="1" si="4">ROUNDDOWN(AL6,5)</f>
        <v>6.0800000000000003E-3</v>
      </c>
      <c r="AN6">
        <f t="shared" ref="AN6:AN26" ca="1" si="5">AM6/0.00002</f>
        <v>304</v>
      </c>
      <c r="AO6" s="2">
        <f t="shared" ref="AO6:AO26" ca="1" si="6">AN6-TRUNC(AN6)</f>
        <v>0</v>
      </c>
      <c r="AP6" s="35">
        <v>13</v>
      </c>
      <c r="AQ6" s="35" t="str">
        <f t="shared" si="1"/>
        <v/>
      </c>
      <c r="AR6" s="38">
        <f>IF(COUNT(G6,I6,K6,M6,O6,Q6)=0,0,IF(COUNT(G6,I6,K6,M6,O6,Q6)=6,IF(F6=0,17,IF(F6=1,13,IF(F6=2,10,8))),IF(COUNT(G6,I6,K6,M6,O6,Q6)=5,IF(F6=0,13,IF(F6=1,10,IF(F6=2,8,IF(F6=3,6,5)))),IF(COUNT(G6,I6,K6,M6,O6,Q6)=4,IF(F6=0,9,IF(F6=1,8,IF(F6=2,6,IF(F6=3,5,IF(F6=4,3,2))))),IF(COUNT(G6,I6,K6,M6,O6,Q6)=3,IF(F6=0,6,IF(F6=1,5,IF(F6=2,5,IF(F6=3,4,IF(F6=4,2,IF(F6=5,1,0)))))),IF(COUNT(G6,I6,K6,M6,O6,Q6)=2,IF(F6=4,1,IF(F6=5,0,IF(F6=6,-2,IF(F6=7,-3,2)))),IF(COUNT(G6,I6,K6,M6,O6,Q6)=1,IF(F6=5,-2,IF(F6=6,-3,IF(F6=7,-4,IF(F6=8,-6,0)))))))))))</f>
        <v>0</v>
      </c>
      <c r="AS6" s="57" t="str">
        <f>IF(F6&lt;&gt;9,INDEX(S3:X6,1,MATCH(AE6,S6:X6,0)),"-")</f>
        <v>-</v>
      </c>
      <c r="AT6" s="96">
        <f>IF(AQ6="",0,IF(AS5=AS6,AQ6+9,AQ6))+AR6</f>
        <v>0</v>
      </c>
      <c r="AZ6" s="3"/>
      <c r="BR6" s="3" t="s">
        <v>1</v>
      </c>
      <c r="BS6">
        <f>SUMPRODUCT($G$5:$G$26,$AT$5:$AT$26)+SUMPRODUCT(--($AS$5:$AS$26="Hat"),--($D$5:$D$26*$E$5:$E$26))</f>
        <v>0</v>
      </c>
    </row>
    <row r="7" spans="1:83" ht="19.5" thickTop="1" x14ac:dyDescent="0.25">
      <c r="A7" s="11">
        <v>3</v>
      </c>
      <c r="B7" s="36">
        <v>100</v>
      </c>
      <c r="C7" s="36">
        <f t="shared" si="0"/>
        <v>0</v>
      </c>
      <c r="D7" s="36"/>
      <c r="E7" s="4">
        <v>50</v>
      </c>
      <c r="F7" s="91">
        <f t="shared" ref="F7:F26" si="7">9-SUM(G7,I7,K7,M7,O7,Q7)</f>
        <v>9</v>
      </c>
      <c r="G7" s="85"/>
      <c r="H7" s="86" t="str">
        <f>IF($F7&lt;&gt;9,IF($D7=1,IF($AS7=G3,0,IF(G7="",INDEX(Φύλλο2!$T$27:$T$35,9-$F7,1),INDEX(Φύλλο2!$U$27:$X$35,9-$F7,G7))),IF($D7=2,IF($AS7=G3,0,IF(G7="",INDEX(Φύλλο2!$AB$27:$AB$35,9-$F7,1),INDEX(Φύλλο2!$AC$27:$AF$35,9-$F7,G7))),IF($D7=3,IF($AS7=G3,0,IF(G7="",INDEX(Φύλλο2!$AJ$27:$AJ$35,9-$F7,1),INDEX(Φύλλο2!$AK$27:$AN$35,9-$F7,G7))),IF($D7=4,IF($AS7=G3,0,IF(G7="",INDEX(Φύλλο2!$AR$27:$AR$35,9-$F7,1),INDEX(Φύλλο2!$AS$27:$AV$35,9-$F7,G7))),IF($D7=5,IF($AS7=G3,0,IF(G7="",INDEX(Φύλλο2!$AZ$27:$AZ$35,9-$F7,1),INDEX(Φύλλο2!$BA$27:$BD$35,9-$F7,G7))),IF($D7=0,IF($AS7=G3,0,IF(AND($AS$7=$AS$8,$AS$8=$AS$9),IF(G7="",INDEX(Φύλλο2!$L$27:$L$35,9-$F7,1),INDEX(Φύλλο2!$M$27:$P$35,9-$F7,G7)),IF(G7="",INDEX(Φύλλο2!$D$27:$D$35,9-$F7,1),INDEX(Φύλλο2!$E$27:$H$35,9-$F7,G7)))))))))),"")</f>
        <v/>
      </c>
      <c r="I7" s="85"/>
      <c r="J7" s="86" t="str">
        <f>IF($F7&lt;&gt;9,IF($D7=1,IF($AS7=I3,0,IF(I7="",INDEX(Φύλλο2!$T$27:$T$35,9-$F7,1),INDEX(Φύλλο2!$U$27:$X$35,9-$F7,I7))),IF($D7=2,IF($AS7=I3,0,IF(I7="",INDEX(Φύλλο2!$AB$27:$AB$35,9-$F7,1),INDEX(Φύλλο2!$AC$27:$AF$35,9-$F7,I7))),IF($D7=3,IF($AS7=I3,0,IF(I7="",INDEX(Φύλλο2!$AJ$27:$AJ$35,9-$F7,1),INDEX(Φύλλο2!$AK$27:$AN$35,9-$F7,I7))),IF($D7=4,IF($AS7=I3,0,IF(I7="",INDEX(Φύλλο2!$AR$27:$AR$35,9-$F7,1),INDEX(Φύλλο2!$AS$27:$AV$35,9-$F7,I7))),IF($D7=5,IF($AS7=I3,0,IF(I7="",INDEX(Φύλλο2!$AZ$27:$AZ$35,9-$F7,1),INDEX(Φύλλο2!$BA$27:$BD$35,9-$F7,I7))),IF($D7=0,IF($AS7=I3,0,IF(AND($AS$7=$AS$8,$AS$8=$AS$9),IF(I7="",INDEX(Φύλλο2!$L$27:$L$35,9-$F7,1),INDEX(Φύλλο2!$M$27:$P$35,9-$F7,I7)),IF(I7="",INDEX(Φύλλο2!$D$27:$D$35,9-$F7,1),INDEX(Φύλλο2!$E$27:$H$35,9-$F7,I7)))))))))),"")</f>
        <v/>
      </c>
      <c r="K7" s="85"/>
      <c r="L7" s="86" t="str">
        <f>IF($F7&lt;&gt;9,IF($D7=1,IF($AS7=K3,0,IF(K7="",INDEX(Φύλλο2!$T$27:$T$35,9-$F7,1),INDEX(Φύλλο2!$U$27:$X$35,9-$F7,K7))),IF($D7=2,IF($AS7=K3,0,IF(K7="",INDEX(Φύλλο2!$AB$27:$AB$35,9-$F7,1),INDEX(Φύλλο2!$AC$27:$AF$35,9-$F7,K7))),IF($D7=3,IF($AS7=K3,0,IF(K7="",INDEX(Φύλλο2!$AJ$27:$AJ$35,9-$F7,1),INDEX(Φύλλο2!$AK$27:$AN$35,9-$F7,K7))),IF($D7=4,IF($AS7=K3,0,IF(K7="",INDEX(Φύλλο2!$AR$27:$AR$35,9-$F7,1),INDEX(Φύλλο2!$AS$27:$AV$35,9-$F7,K7))),IF($D7=5,IF($AS7=K3,0,IF(K7="",INDEX(Φύλλο2!$AZ$27:$AZ$35,9-$F7,1),INDEX(Φύλλο2!$BA$27:$BD$35,9-$F7,K7))),IF($D7=0,IF($AS7=K3,0,IF(AND($AS$7=$AS$8,$AS$8=$AS$9),IF(K7="",INDEX(Φύλλο2!$L$27:$L$35,9-$F7,1),INDEX(Φύλλο2!$M$27:$P$35,9-$F7,K7)),IF(K7="",INDEX(Φύλλο2!$D$27:$D$35,9-$F7,1),INDEX(Φύλλο2!$E$27:$H$35,9-$F7,K7)))))))))),"")</f>
        <v/>
      </c>
      <c r="M7" s="85"/>
      <c r="N7" s="86" t="str">
        <f>IF($F7&lt;&gt;9,IF($D7=1,IF($AS7=M3,0,IF(M7="",INDEX(Φύλλο2!$T$27:$T$35,9-$F7,1),INDEX(Φύλλο2!$U$27:$X$35,9-$F7,M7))),IF($D7=2,IF($AS7=M3,0,IF(M7="",INDEX(Φύλλο2!$AB$27:$AB$35,9-$F7,1),INDEX(Φύλλο2!$AC$27:$AF$35,9-$F7,M7))),IF($D7=3,IF($AS7=M3,0,IF(M7="",INDEX(Φύλλο2!$AJ$27:$AJ$35,9-$F7,1),INDEX(Φύλλο2!$AK$27:$AN$35,9-$F7,M7))),IF($D7=4,IF($AS7=M3,0,IF(M7="",INDEX(Φύλλο2!$AR$27:$AR$35,9-$F7,1),INDEX(Φύλλο2!$AS$27:$AV$35,9-$F7,M7))),IF($D7=5,IF($AS7=M3,0,IF(M7="",INDEX(Φύλλο2!$AZ$27:$AZ$35,9-$F7,1),INDEX(Φύλλο2!$BA$27:$BD$35,9-$F7,M7))),IF($D7=0,IF($AS7=M3,0,IF(AND($AS$7=$AS$8,$AS$8=$AS$9),IF(M7="",INDEX(Φύλλο2!$L$27:$L$35,9-$F7,1),INDEX(Φύλλο2!$M$27:$P$35,9-$F7,M7)),IF(M7="",INDEX(Φύλλο2!$D$27:$D$35,9-$F7,1),INDEX(Φύλλο2!$E$27:$H$35,9-$F7,M7)))))))))),"")</f>
        <v/>
      </c>
      <c r="O7" s="85"/>
      <c r="P7" s="86" t="str">
        <f>IF($F7&lt;&gt;9,IF($D7=1,IF($AS7=O3,0,IF(O7="",INDEX(Φύλλο2!$T$27:$T$35,9-$F7,1),INDEX(Φύλλο2!$U$27:$X$35,9-$F7,O7))),IF($D7=2,IF($AS7=O3,0,IF(O7="",INDEX(Φύλλο2!$AB$27:$AB$35,9-$F7,1),INDEX(Φύλλο2!$AC$27:$AF$35,9-$F7,O7))),IF($D7=3,IF($AS7=O3,0,IF(O7="",INDEX(Φύλλο2!$AJ$27:$AJ$35,9-$F7,1),INDEX(Φύλλο2!$AK$27:$AN$35,9-$F7,O7))),IF($D7=4,IF($AS7=O3,0,IF(O7="",INDEX(Φύλλο2!$AR$27:$AR$35,9-$F7,1),INDEX(Φύλλο2!$AS$27:$AV$35,9-$F7,O7))),IF($D7=5,IF($AS7=O3,0,IF(O7="",INDEX(Φύλλο2!$AZ$27:$AZ$35,9-$F7,1),INDEX(Φύλλο2!$BA$27:$BD$35,9-$F7,O7))),IF($D7=0,IF($AS7=O3,0,IF(AND($AS$7=$AS$8,$AS$8=$AS$9),IF(O7="",INDEX(Φύλλο2!$L$27:$L$35,9-$F7,1),INDEX(Φύλλο2!$M$27:$P$35,9-$F7,O7)),IF(O7="",INDEX(Φύλλο2!$D$27:$D$35,9-$F7,1),INDEX(Φύλλο2!$E$27:$H$35,9-$F7,O7)))))))))),"")</f>
        <v/>
      </c>
      <c r="Q7" s="80"/>
      <c r="R7" s="76" t="str">
        <f>IF($F7&lt;&gt;9,IF($D7=1,IF($AS7=Q3,0,IF(Q7="",INDEX(Φύλλο2!$T$27:$T$35,9-$F7,1),INDEX(Φύλλο2!$U$27:$X$35,9-$F7,Q7))),IF($D7=2,IF($AS7=Q3,0,IF(Q7="",INDEX(Φύλλο2!$AB$27:$AB$35,9-$F7,1),INDEX(Φύλλο2!$AC$27:$AF$35,9-$F7,Q7))),IF($D7=3,IF($AS7=Q3,0,IF(Q7="",INDEX(Φύλλο2!$AJ$27:$AJ$35,9-$F7,1),INDEX(Φύλλο2!$AK$27:$AN$35,9-$F7,Q7))),IF($D7=4,IF($AS7=Q3,0,IF(Q7="",INDEX(Φύλλο2!$AR$27:$AR$35,9-$F7,1),INDEX(Φύλλο2!$AS$27:$AV$35,9-$F7,Q7))),IF($D7=5,IF($AS7=Q3,0,IF(Q7="",INDEX(Φύλλο2!$AZ$27:$AZ$35,9-$F7,1),INDEX(Φύλλο2!$BA$27:$BD$35,9-$F7,Q7))),IF($D7=0,IF($AS7=Q3,0,IF(AND($AS$7=$AS$8,$AS$8=$AS$9),IF(Q7="",INDEX(Φύλλο2!$L$27:$L$35,9-$F7,1),INDEX(Φύλλο2!$M$27:$P$35,9-$F7,Q7)),IF(Q7="",INDEX(Φύλλο2!$D$27:$D$35,9-$F7,1),INDEX(Φύλλο2!$E$27:$H$35,9-$F7,Q7)))))))))),"")</f>
        <v/>
      </c>
      <c r="S7" s="63"/>
      <c r="T7" s="64"/>
      <c r="U7" s="64"/>
      <c r="V7" s="64"/>
      <c r="W7" s="39"/>
      <c r="X7" s="36"/>
      <c r="Y7" s="60">
        <f>IF(G7&lt;&gt;"",RANK(G7,Rank3,0),6)</f>
        <v>6</v>
      </c>
      <c r="Z7" s="60">
        <f>IF(I7&lt;&gt;"",RANK(I7,Rank3,0),6)</f>
        <v>6</v>
      </c>
      <c r="AA7" s="60">
        <f>IF(K7&lt;&gt;"",RANK(K7,Rank3,0),6)</f>
        <v>6</v>
      </c>
      <c r="AB7" s="60">
        <f>IF(M7&lt;&gt;"",RANK(M7,Rank3,0),6)</f>
        <v>6</v>
      </c>
      <c r="AC7" s="60">
        <f>IF(O7&lt;&gt;"",RANK(O7,Rank3,0),6)</f>
        <v>6</v>
      </c>
      <c r="AD7" s="60">
        <f>IF(Q7&lt;&gt;"",RANK(Q7,Rank3,0),6)</f>
        <v>6</v>
      </c>
      <c r="AE7" s="60">
        <f t="shared" ref="AE7:AE26" si="8">IF(Y7=1,IF(Z7=1,MIN(S7,T7),IF(AA7=1,MIN(S7,U7),IF(AB7=1,MIN(S7,V7),IF(AC7=1,MIN(S7,W7),IF(AD7=1,MIN(S7,X7),S7))))),IF(Z7=1,IF(AA7=1,MIN(T7,U7),IF(AB7=1,MIN(T7,V7),IF(AC7=1,MIN(T7,W7),IF(AD7=1,MIN(T7,X7),T7)))),IF(AA7=1,IF(AB7=1,MIN(U7,V7),IF(AC7=1,MIN(U7,W7),IF(AD7=1,MIN(U7,X7),U7))),IF(AB7=1,IF(AC7=1,MIN(V7,W7),IF(AD7=1,MIN(V7,X7),V7)),IF(AC7=1,IF(AD7=1,MIN(W7,X7),W7),X7)))))</f>
        <v>0</v>
      </c>
      <c r="AF7" s="1">
        <f ca="1">NOW()</f>
        <v>44454.006083796296</v>
      </c>
      <c r="AG7" s="2">
        <f ca="1">AF7-TRUNC(AF7)</f>
        <v>6.0837962955702096E-3</v>
      </c>
      <c r="AH7">
        <f ca="1">ROUNDDOWN(AG7,8)</f>
        <v>6.0837900000000004E-3</v>
      </c>
      <c r="AI7">
        <f ca="1">AH7/0.00000004</f>
        <v>152094.75</v>
      </c>
      <c r="AJ7" s="2">
        <f ca="1">AI7-TRUNC(AI7)</f>
        <v>0.75</v>
      </c>
      <c r="AK7" s="7">
        <f t="shared" ca="1" si="2"/>
        <v>44452.306083796298</v>
      </c>
      <c r="AL7" s="5">
        <f t="shared" ca="1" si="3"/>
        <v>6.0837962955702096E-3</v>
      </c>
      <c r="AM7" s="6">
        <f t="shared" ca="1" si="4"/>
        <v>6.0800000000000003E-3</v>
      </c>
      <c r="AN7">
        <f t="shared" ca="1" si="5"/>
        <v>304</v>
      </c>
      <c r="AO7" s="2">
        <f t="shared" ca="1" si="6"/>
        <v>0</v>
      </c>
      <c r="AP7" s="36">
        <v>21</v>
      </c>
      <c r="AQ7" s="36" t="str">
        <f t="shared" si="1"/>
        <v/>
      </c>
      <c r="AR7" s="39">
        <f>IF(COUNT(G7,I7,K7,M7,O7,Q7)=0,0,IF(COUNT(G7,I7,K7,M7,O7,Q7)=6,IF(F7=0,29,IF(F7=1,22,IF(F7=2,18,14))),IF(COUNT(G7,I7,K7,M7,O7,Q7)=5,IF(F7=0,22,IF(F7=1,18,IF(F7=2,14,IF(F7=3,11,9)))),IF(COUNT(G7,I7,K7,M7,O7,Q7)=4,IF(F7=0,16,IF(F7=1,14,IF(F7=2,11,IF(F7=3,9,IF(F7=4,7,5))))),IF(COUNT(G7,I7,K7,M7,O7,Q7)=3,IF(F7=0,11,IF(F7=1,9,IF(F7=2,9,IF(F7=3,7,IF(F7=4,5,IF(F7=5,3,0)))))),IF(COUNT(G7,I7,K7,M7,O7,Q7)=2,IF(F7=4,3,IF(F7=5,0,IF(F7=6,-2,IF(F7=7,-4,5)))),IF(COUNT(G7,I7,K7,M7,O7,Q7)=1,IF(F7=5,-2,IF(F7=6,-4,IF(F7=7,-6,IF(F7=8,-8,0)))))))))))</f>
        <v>0</v>
      </c>
      <c r="AS7" s="67" t="str">
        <f>IF(F7&lt;&gt;9,INDEX(S3:X7,1,MATCH(AE7,S7:X7,0)),"-")</f>
        <v>-</v>
      </c>
      <c r="AT7" s="95">
        <f>IF(AQ7="",0,IF(AND(AS7=AS8,AS8=AS9),AQ7+16,AQ7))+AR7</f>
        <v>0</v>
      </c>
      <c r="AZ7" s="3"/>
      <c r="BR7" s="3" t="s">
        <v>2</v>
      </c>
      <c r="BS7">
        <f>SUMPRODUCT($I$5:$I$26,$AT$5:$AT$26)+SUMPRODUCT(--($AS$5:$AS$26="Ship"),--($D$5:$D$26*$E$5:$E$26))</f>
        <v>0</v>
      </c>
    </row>
    <row r="8" spans="1:83" ht="18.75" x14ac:dyDescent="0.25">
      <c r="A8" s="11">
        <v>4</v>
      </c>
      <c r="B8" s="36">
        <v>100</v>
      </c>
      <c r="C8" s="36">
        <f t="shared" si="0"/>
        <v>0</v>
      </c>
      <c r="D8" s="36"/>
      <c r="E8" s="4">
        <v>50</v>
      </c>
      <c r="F8" s="91">
        <f t="shared" si="7"/>
        <v>9</v>
      </c>
      <c r="G8" s="85"/>
      <c r="H8" s="86" t="str">
        <f>IF($F8&lt;&gt;9,IF($D8=1,IF($AS8=G3,0,IF(G8="",INDEX(Φύλλο2!$T$39:$T$47,9-$F8,1),INDEX(Φύλλο2!$U$39:$X$47,9-$F8,G8))),IF($D8=2,IF($AS8=G3,0,IF(G8="",INDEX(Φύλλο2!$AB$39:$AB$47,9-$F8,1),INDEX(Φύλλο2!$AC$39:$AF$47,9-$F8,G8))),IF($D8=3,IF($AS8=G3,0,IF(G8="",INDEX(Φύλλο2!$AJ$39:$AJ$47,9-$F8,1),INDEX(Φύλλο2!$AK$39:$AN$47,9-$F8,G8))),IF($D8=4,IF($AS8=G3,0,IF(G8="",INDEX(Φύλλο2!$AR$39:$AR$47,9-$F8,1),INDEX(Φύλλο2!$AS$39:$AV$47,9-$F8,G8))),IF($D8=5,IF($AS8=G3,0,IF(G8="",INDEX(Φύλλο2!$AZ$39:$AZ$47,9-$F8,1),INDEX(Φύλλο2!$BA$39:$BD$47,9-$F8,G8))),IF($D8=0,IF($AS8=G3,0,IF(AND($AS$7=$AS$8,$AS$8=$AS$9),IF(G8="",INDEX(Φύλλο2!$L$39:$L$47,9-$F8,1),INDEX(Φύλλο2!$M$39:$P$47,9-$F8,G8)),IF(G8="",INDEX(Φύλλο2!$D$39:$D$47,9-$F8,1),INDEX(Φύλλο2!$E$39:$H$47,9-$F8,G8)))))))))),"")</f>
        <v/>
      </c>
      <c r="I8" s="85"/>
      <c r="J8" s="86" t="str">
        <f>IF($F8&lt;&gt;9,IF($D8=1,IF($AS8=I3,0,IF(I8="",INDEX(Φύλλο2!$T$39:$T$47,9-$F8,1),INDEX(Φύλλο2!$U$39:$X$47,9-$F8,I8))),IF($D8=2,IF($AS8=I3,0,IF(I8="",INDEX(Φύλλο2!$AB$39:$AB$47,9-$F8,1),INDEX(Φύλλο2!$AC$39:$AF$47,9-$F8,I8))),IF($D8=3,IF($AS8=I3,0,IF(I8="",INDEX(Φύλλο2!$AJ$39:$AJ$47,9-$F8,1),INDEX(Φύλλο2!$AK$39:$AN$47,9-$F8,I8))),IF($D8=4,IF($AS8=I3,0,IF(I8="",INDEX(Φύλλο2!$AR$39:$AR$47,9-$F8,1),INDEX(Φύλλο2!$AS$39:$AV$47,9-$F8,I8))),IF($D8=5,IF($AS8=I3,0,IF(I8="",INDEX(Φύλλο2!$AZ$39:$AZ$47,9-$F8,1),INDEX(Φύλλο2!$BA$39:$BD$47,9-$F8,I8))),IF($D8=0,IF($AS8=I3,0,IF(AND($AS$7=$AS$8,$AS$8=$AS$9),IF(I8="",INDEX(Φύλλο2!$L$39:$L$47,9-$F8,1),INDEX(Φύλλο2!$M$39:$P$47,9-$F8,I8)),IF(I8="",INDEX(Φύλλο2!$D$39:$D$47,9-$F8,1),INDEX(Φύλλο2!$E$39:$H$47,9-$F8,I8)))))))))),"")</f>
        <v/>
      </c>
      <c r="K8" s="85"/>
      <c r="L8" s="86" t="str">
        <f>IF($F8&lt;&gt;9,IF($D8=1,IF($AS8=K3,0,IF(K8="",INDEX(Φύλλο2!$T$39:$T$47,9-$F8,1),INDEX(Φύλλο2!$U$39:$X$47,9-$F8,K8))),IF($D8=2,IF($AS8=K3,0,IF(K8="",INDEX(Φύλλο2!$AB$39:$AB$47,9-$F8,1),INDEX(Φύλλο2!$AC$39:$AF$47,9-$F8,K8))),IF($D8=3,IF($AS8=K3,0,IF(K8="",INDEX(Φύλλο2!$AJ$39:$AJ$47,9-$F8,1),INDEX(Φύλλο2!$AK$39:$AN$47,9-$F8,K8))),IF($D8=4,IF($AS8=K3,0,IF(K8="",INDEX(Φύλλο2!$AR$39:$AR$47,9-$F8,1),INDEX(Φύλλο2!$AS$39:$AV$47,9-$F8,K8))),IF($D8=5,IF($AS8=K3,0,IF(K8="",INDEX(Φύλλο2!$AZ$39:$AZ$47,9-$F8,1),INDEX(Φύλλο2!$BA$39:$BD$47,9-$F8,K8))),IF($D8=0,IF($AS8=K3,0,IF(AND($AS$7=$AS$8,$AS$8=$AS$9),IF(K8="",INDEX(Φύλλο2!$L$39:$L$47,9-$F8,1),INDEX(Φύλλο2!$M$39:$P$47,9-$F8,K8)),IF(K8="",INDEX(Φύλλο2!$D$39:$D$47,9-$F8,1),INDEX(Φύλλο2!$E$39:$H$47,9-$F8,K8)))))))))),"")</f>
        <v/>
      </c>
      <c r="M8" s="85"/>
      <c r="N8" s="86" t="str">
        <f>IF($F8&lt;&gt;9,IF($D8=1,IF($AS8=M3,0,IF(M8="",INDEX(Φύλλο2!$T$39:$T$47,9-$F8,1),INDEX(Φύλλο2!$U$39:$X$47,9-$F8,M8))),IF($D8=2,IF($AS8=M3,0,IF(M8="",INDEX(Φύλλο2!$AB$39:$AB$47,9-$F8,1),INDEX(Φύλλο2!$AC$39:$AF$47,9-$F8,M8))),IF($D8=3,IF($AS8=M3,0,IF(M8="",INDEX(Φύλλο2!$AJ$39:$AJ$47,9-$F8,1),INDEX(Φύλλο2!$AK$39:$AN$47,9-$F8,M8))),IF($D8=4,IF($AS8=M3,0,IF(M8="",INDEX(Φύλλο2!$AR$39:$AR$47,9-$F8,1),INDEX(Φύλλο2!$AS$39:$AV$47,9-$F8,M8))),IF($D8=5,IF($AS8=M3,0,IF(M8="",INDEX(Φύλλο2!$AZ$39:$AZ$47,9-$F8,1),INDEX(Φύλλο2!$BA$39:$BD$47,9-$F8,M8))),IF($D8=0,IF($AS8=M3,0,IF(AND($AS$7=$AS$8,$AS$8=$AS$9),IF(M8="",INDEX(Φύλλο2!$L$39:$L$47,9-$F8,1),INDEX(Φύλλο2!$M$39:$P$47,9-$F8,M8)),IF(M8="",INDEX(Φύλλο2!$D$39:$D$47,9-$F8,1),INDEX(Φύλλο2!$E$39:$H$47,9-$F8,M8)))))))))),"")</f>
        <v/>
      </c>
      <c r="O8" s="85"/>
      <c r="P8" s="86" t="str">
        <f>IF($F8&lt;&gt;9,IF($D8=1,IF($AS8=O3,0,IF(O8="",INDEX(Φύλλο2!$T$39:$T$47,9-$F8,1),INDEX(Φύλλο2!$U$39:$X$47,9-$F8,O8))),IF($D8=2,IF($AS8=O3,0,IF(O8="",INDEX(Φύλλο2!$AB$39:$AB$47,9-$F8,1),INDEX(Φύλλο2!$AC$39:$AF$47,9-$F8,O8))),IF($D8=3,IF($AS8=O3,0,IF(O8="",INDEX(Φύλλο2!$AJ$39:$AJ$47,9-$F8,1),INDEX(Φύλλο2!$AK$39:$AN$47,9-$F8,O8))),IF($D8=4,IF($AS8=O3,0,IF(O8="",INDEX(Φύλλο2!$AR$39:$AR$47,9-$F8,1),INDEX(Φύλλο2!$AS$39:$AV$47,9-$F8,O8))),IF($D8=5,IF($AS8=O3,0,IF(O8="",INDEX(Φύλλο2!$AZ$39:$AZ$47,9-$F8,1),INDEX(Φύλλο2!$BA$39:$BD$47,9-$F8,O8))),IF($D8=0,IF($AS8=O3,0,IF(AND($AS$7=$AS$8,$AS$8=$AS$9),IF(O8="",INDEX(Φύλλο2!$L$39:$L$47,9-$F8,1),INDEX(Φύλλο2!$M$39:$P$47,9-$F8,O8)),IF(O8="",INDEX(Φύλλο2!$D$39:$D$47,9-$F8,1),INDEX(Φύλλο2!$E$39:$H$47,9-$F8,O8)))))))))),"")</f>
        <v/>
      </c>
      <c r="Q8" s="80"/>
      <c r="R8" s="76" t="str">
        <f>IF($F8&lt;&gt;9,IF($D8=1,IF($AS8=Q3,0,IF(Q8="",INDEX(Φύλλο2!$T$39:$T$47,9-$F8,1),INDEX(Φύλλο2!$U$39:$X$47,9-$F8,Q8))),IF($D8=2,IF($AS8=Q3,0,IF(Q8="",INDEX(Φύλλο2!$AB$39:$AB$47,9-$F8,1),INDEX(Φύλλο2!$AC$39:$AF$47,9-$F8,Q8))),IF($D8=3,IF($AS8=Q3,0,IF(Q8="",INDEX(Φύλλο2!$AJ$39:$AJ$47,9-$F8,1),INDEX(Φύλλο2!$AK$39:$AN$47,9-$F8,Q8))),IF($D8=4,IF($AS8=Q3,0,IF(Q8="",INDEX(Φύλλο2!$AR$39:$AR$47,9-$F8,1),INDEX(Φύλλο2!$AS$39:$AV$47,9-$F8,Q8))),IF($D8=5,IF($AS8=Q3,0,IF(Q8="",INDEX(Φύλλο2!$AZ$39:$AZ$47,9-$F8,1),INDEX(Φύλλο2!$BA$39:$BD$47,9-$F8,Q8))),IF($D8=0,IF($AS8=Q3,0,IF(AND($AS$7=$AS$8,$AS$8=$AS$9),IF(Q8="",INDEX(Φύλλο2!$L$39:$L$47,9-$F8,1),INDEX(Φύλλο2!$M$39:$P$47,9-$F8,Q8)),IF(Q8="",INDEX(Φύλλο2!$D$39:$D$47,9-$F8,1),INDEX(Φύλλο2!$E$39:$H$47,9-$F8,Q8)))))))))),"")</f>
        <v/>
      </c>
      <c r="S8" s="63"/>
      <c r="T8" s="64"/>
      <c r="U8" s="64"/>
      <c r="V8" s="64"/>
      <c r="W8" s="39"/>
      <c r="X8" s="36"/>
      <c r="Y8" s="60">
        <f>IF(G8&lt;&gt;"",RANK(G8,Rank4,0),6)</f>
        <v>6</v>
      </c>
      <c r="Z8" s="60">
        <f>IF(I8&lt;&gt;"",RANK(I8,Rank4,0),6)</f>
        <v>6</v>
      </c>
      <c r="AA8" s="60">
        <f>IF(K8&lt;&gt;"",RANK(K8,Rank4,0),6)</f>
        <v>6</v>
      </c>
      <c r="AB8" s="60">
        <f>IF(M8&lt;&gt;"",RANK(M8,Rank4,0),6)</f>
        <v>6</v>
      </c>
      <c r="AC8" s="60">
        <f>IF(O8&lt;&gt;"",RANK(O8,Rank4,0),6)</f>
        <v>6</v>
      </c>
      <c r="AD8" s="60">
        <f>IF(Q8&lt;&gt;"",RANK(Q8,Rank4,0),6)</f>
        <v>6</v>
      </c>
      <c r="AE8" s="60">
        <f t="shared" si="8"/>
        <v>0</v>
      </c>
      <c r="AF8" s="1">
        <f t="shared" ref="AF8:AF26" ca="1" si="9">NOW()</f>
        <v>44454.006083796296</v>
      </c>
      <c r="AG8" s="2">
        <f t="shared" ref="AG8:AG26" ca="1" si="10">AF8-TRUNC(AF8)</f>
        <v>6.0837962955702096E-3</v>
      </c>
      <c r="AH8">
        <f ca="1">ROUNDDOWN(AG8,6)</f>
        <v>6.0829999999999999E-3</v>
      </c>
      <c r="AI8">
        <f ca="1">AH8/0.000004</f>
        <v>1520.75</v>
      </c>
      <c r="AJ8" s="2">
        <f t="shared" ref="AJ8:AJ26" ca="1" si="11">AI8-TRUNC(AI8)</f>
        <v>0.75</v>
      </c>
      <c r="AK8" s="7">
        <f t="shared" ca="1" si="2"/>
        <v>44452.306083796298</v>
      </c>
      <c r="AL8" s="5">
        <f t="shared" ca="1" si="3"/>
        <v>6.0837962955702096E-3</v>
      </c>
      <c r="AM8" s="6">
        <f t="shared" ca="1" si="4"/>
        <v>6.0800000000000003E-3</v>
      </c>
      <c r="AN8">
        <f t="shared" ca="1" si="5"/>
        <v>304</v>
      </c>
      <c r="AO8" s="2">
        <f t="shared" ca="1" si="6"/>
        <v>0</v>
      </c>
      <c r="AP8" s="36">
        <v>21</v>
      </c>
      <c r="AQ8" s="36" t="str">
        <f t="shared" si="1"/>
        <v/>
      </c>
      <c r="AR8" s="39">
        <f>IF(COUNT(G8,I8,K8,M8,O8,Q8)=0,0,IF(COUNT(G8,I8,K8,M8,O8,Q8)=6,IF(F8=0,29,IF(F8=1,22,IF(F8=2,18,14))),IF(COUNT(G8,I8,K8,M8,O8,Q8)=5,IF(F8=0,22,IF(F8=1,18,IF(F8=2,14,IF(F8=3,11,9)))),IF(COUNT(G8,I8,K8,M8,O8,Q8)=4,IF(F8=0,16,IF(F8=1,14,IF(F8=2,11,IF(F8=3,9,IF(F8=4,7,5))))),IF(COUNT(G8,I8,K8,M8,O8,Q8)=3,IF(F8=0,11,IF(F8=1,9,IF(F8=2,9,IF(F8=3,7,IF(F8=4,5,IF(F8=5,3,0)))))),IF(COUNT(G8,I8,K8,M8,O8,Q8)=2,IF(F8=4,3,IF(F8=5,0,IF(F8=6,-2,IF(F8=7,-4,5)))),IF(COUNT(G8,I8,K8,M8,O8,Q8)=1,IF(F8=5,-2,IF(F8=6,-4,IF(F8=7,-6,IF(F8=8,-8,0)))))))))))</f>
        <v>0</v>
      </c>
      <c r="AS8" s="57" t="str">
        <f>IF(F8&lt;&gt;9,INDEX(S3:X8,1,MATCH(AE8,S8:X8,0)),"-")</f>
        <v>-</v>
      </c>
      <c r="AT8" s="97">
        <f>IF(AQ8="",0,IF(AND(AS7=AS8,AS8=AS9),AQ8+16,AQ8))+AR8</f>
        <v>0</v>
      </c>
      <c r="AZ8" s="3"/>
      <c r="BR8" s="3" t="s">
        <v>3</v>
      </c>
      <c r="BS8">
        <f>SUMPRODUCT($K$5:$K$26,$AT$5:$AT$26)+SUMPRODUCT(--($AS$5:$AS$26="Car"),--($D$5:$D$26*$E$5:$E$26))</f>
        <v>0</v>
      </c>
    </row>
    <row r="9" spans="1:83" ht="19.5" thickBot="1" x14ac:dyDescent="0.3">
      <c r="A9" s="18">
        <v>5</v>
      </c>
      <c r="B9" s="35">
        <v>120</v>
      </c>
      <c r="C9" s="35">
        <f t="shared" si="0"/>
        <v>0</v>
      </c>
      <c r="D9" s="35"/>
      <c r="E9" s="20">
        <v>50</v>
      </c>
      <c r="F9" s="90">
        <f t="shared" si="7"/>
        <v>9</v>
      </c>
      <c r="G9" s="83"/>
      <c r="H9" s="84" t="str">
        <f>IF($F9&lt;&gt;9,IF($D9=1,IF($AS9=G3,0,IF(G9="",INDEX(Φύλλο2!$T$51:$T$59,9-$F9,1),INDEX(Φύλλο2!$U$51:$X$59,9-$F9,G9))),IF($D9=2,IF($AS9=G3,0,IF(G9="",INDEX(Φύλλο2!$AB$51:$AB$59,9-$F9,1),INDEX(Φύλλο2!$AC$51:$AF$59,9-$F9,G9))),IF($D9=3,IF($AS9=G3,0,IF(G9="",INDEX(Φύλλο2!$AJ$51:$AJ$59,9-$F9,1),INDEX(Φύλλο2!$AK$51:$AN$59,9-$F9,G9))),IF($D9=4,IF($AS9=G3,0,IF(G9="",INDEX(Φύλλο2!$AR$51:$AR$59,9-$F9,1),INDEX(Φύλλο2!$AS$51:$AV$59,9-$F9,G9))),IF($D9=5,IF($AS9=G3,0,IF(G9="",INDEX(Φύλλο2!$AZ$51:$AZ$59,9-$F9,1),INDEX(Φύλλο2!$BA$51:$BD$59,9-$F9,G9))),IF($D9=0,IF($AS9=G3,0,IF(AND($AS$7=$AS$8,$AS$8=$AS$9),IF(G9="",INDEX(Φύλλο2!$L$51:$L$59,9-$F9,1),INDEX(Φύλλο2!$M$51:$P$59,9-$F9,G9)),IF(G9="",INDEX(Φύλλο2!$D$51:$D$59,9-$F9,1),INDEX(Φύλλο2!$E$51:$H$59,9-$F9,G9)))))))))),"")</f>
        <v/>
      </c>
      <c r="I9" s="83"/>
      <c r="J9" s="84" t="str">
        <f>IF($F9&lt;&gt;9,IF($D9=1,IF($AS9=I3,0,IF(I9="",INDEX(Φύλλο2!$T$51:$T$59,9-$F9,1),INDEX(Φύλλο2!$U$51:$X$59,9-$F9,I9))),IF($D9=2,IF($AS9=I3,0,IF(I9="",INDEX(Φύλλο2!$AB$51:$AB$59,9-$F9,1),INDEX(Φύλλο2!$AC$51:$AF$59,9-$F9,I9))),IF($D9=3,IF($AS9=I3,0,IF(I9="",INDEX(Φύλλο2!$AJ$51:$AJ$59,9-$F9,1),INDEX(Φύλλο2!$AK$51:$AN$59,9-$F9,I9))),IF($D9=4,IF($AS9=I3,0,IF(I9="",INDEX(Φύλλο2!$AR$51:$AR$59,9-$F9,1),INDEX(Φύλλο2!$AS$51:$AV$59,9-$F9,I9))),IF($D9=5,IF($AS9=I3,0,IF(I9="",INDEX(Φύλλο2!$AZ$51:$AZ$59,9-$F9,1),INDEX(Φύλλο2!$BA$51:$BD$59,9-$F9,I9))),IF($D9=0,IF($AS9=I3,0,IF(AND($AS$7=$AS$8,$AS$8=$AS$9),IF(I9="",INDEX(Φύλλο2!$L$51:$L$59,9-$F9,1),INDEX(Φύλλο2!$M$51:$P$59,9-$F9,I9)),IF(I9="",INDEX(Φύλλο2!$D$51:$D$59,9-$F9,1),INDEX(Φύλλο2!$E$51:$H$59,9-$F9,I9)))))))))),"")</f>
        <v/>
      </c>
      <c r="K9" s="83"/>
      <c r="L9" s="84" t="str">
        <f>IF($F9&lt;&gt;9,IF($D9=1,IF($AS9=K3,0,IF(K9="",INDEX(Φύλλο2!$T$51:$T$59,9-$F9,1),INDEX(Φύλλο2!$U$51:$X$59,9-$F9,K9))),IF($D9=2,IF($AS9=K3,0,IF(K9="",INDEX(Φύλλο2!$AB$51:$AB$59,9-$F9,1),INDEX(Φύλλο2!$AC$51:$AF$59,9-$F9,K9))),IF($D9=3,IF($AS9=K3,0,IF(K9="",INDEX(Φύλλο2!$AJ$51:$AJ$59,9-$F9,1),INDEX(Φύλλο2!$AK$51:$AN$59,9-$F9,K9))),IF($D9=4,IF($AS9=K3,0,IF(K9="",INDEX(Φύλλο2!$AR$51:$AR$59,9-$F9,1),INDEX(Φύλλο2!$AS$51:$AV$59,9-$F9,K9))),IF($D9=5,IF($AS9=K3,0,IF(K9="",INDEX(Φύλλο2!$AZ$51:$AZ$59,9-$F9,1),INDEX(Φύλλο2!$BA$51:$BD$59,9-$F9,K9))),IF($D9=0,IF($AS9=K3,0,IF(AND($AS$7=$AS$8,$AS$8=$AS$9),IF(K9="",INDEX(Φύλλο2!$L$51:$L$59,9-$F9,1),INDEX(Φύλλο2!$M$51:$P$59,9-$F9,K9)),IF(K9="",INDEX(Φύλλο2!$D$51:$D$59,9-$F9,1),INDEX(Φύλλο2!$E$51:$H$59,9-$F9,K9)))))))))),"")</f>
        <v/>
      </c>
      <c r="M9" s="83"/>
      <c r="N9" s="84" t="str">
        <f>IF($F9&lt;&gt;9,IF($D9=1,IF($AS9=M3,0,IF(M9="",INDEX(Φύλλο2!$T$51:$T$59,9-$F9,1),INDEX(Φύλλο2!$U$51:$X$59,9-$F9,M9))),IF($D9=2,IF($AS9=M3,0,IF(M9="",INDEX(Φύλλο2!$AB$51:$AB$59,9-$F9,1),INDEX(Φύλλο2!$AC$51:$AF$59,9-$F9,M9))),IF($D9=3,IF($AS9=M3,0,IF(M9="",INDEX(Φύλλο2!$AJ$51:$AJ$59,9-$F9,1),INDEX(Φύλλο2!$AK$51:$AN$59,9-$F9,M9))),IF($D9=4,IF($AS9=M3,0,IF(M9="",INDEX(Φύλλο2!$AR$51:$AR$59,9-$F9,1),INDEX(Φύλλο2!$AS$51:$AV$59,9-$F9,M9))),IF($D9=5,IF($AS9=M3,0,IF(M9="",INDEX(Φύλλο2!$AZ$51:$AZ$59,9-$F9,1),INDEX(Φύλλο2!$BA$51:$BD$59,9-$F9,M9))),IF($D9=0,IF($AS9=M3,0,IF(AND($AS$7=$AS$8,$AS$8=$AS$9),IF(M9="",INDEX(Φύλλο2!$L$51:$L$59,9-$F9,1),INDEX(Φύλλο2!$M$51:$P$59,9-$F9,M9)),IF(M9="",INDEX(Φύλλο2!$D$51:$D$59,9-$F9,1),INDEX(Φύλλο2!$E$51:$H$59,9-$F9,M9)))))))))),"")</f>
        <v/>
      </c>
      <c r="O9" s="83"/>
      <c r="P9" s="84" t="str">
        <f>IF($F9&lt;&gt;9,IF($D9=1,IF($AS9=O3,0,IF(O9="",INDEX(Φύλλο2!$T$51:$T$59,9-$F9,1),INDEX(Φύλλο2!$U$51:$X$59,9-$F9,O9))),IF($D9=2,IF($AS9=O3,0,IF(O9="",INDEX(Φύλλο2!$AB$51:$AB$59,9-$F9,1),INDEX(Φύλλο2!$AC$51:$AF$59,9-$F9,O9))),IF($D9=3,IF($AS9=O3,0,IF(O9="",INDEX(Φύλλο2!$AJ$51:$AJ$59,9-$F9,1),INDEX(Φύλλο2!$AK$51:$AN$59,9-$F9,O9))),IF($D9=4,IF($AS9=O3,0,IF(O9="",INDEX(Φύλλο2!$AR$51:$AR$59,9-$F9,1),INDEX(Φύλλο2!$AS$51:$AV$59,9-$F9,O9))),IF($D9=5,IF($AS9=O3,0,IF(O9="",INDEX(Φύλλο2!$AZ$51:$AZ$59,9-$F9,1),INDEX(Φύλλο2!$BA$51:$BD$59,9-$F9,O9))),IF($D9=0,IF($AS9=O3,0,IF(AND($AS$7=$AS$8,$AS$8=$AS$9),IF(O9="",INDEX(Φύλλο2!$L$51:$L$59,9-$F9,1),INDEX(Φύλλο2!$M$51:$P$59,9-$F9,O9)),IF(O9="",INDEX(Φύλλο2!$D$51:$D$59,9-$F9,1),INDEX(Φύλλο2!$E$51:$H$59,9-$F9,O9)))))))))),"")</f>
        <v/>
      </c>
      <c r="Q9" s="79"/>
      <c r="R9" s="75" t="str">
        <f>IF($F9&lt;&gt;9,IF($D9=1,IF($AS9=Q3,0,IF(Q9="",INDEX(Φύλλο2!$T$51:$T$59,9-$F9,1),INDEX(Φύλλο2!$U$51:$X$59,9-$F9,Q9))),IF($D9=2,IF($AS9=Q3,0,IF(Q9="",INDEX(Φύλλο2!$AB$51:$AB$59,9-$F9,1),INDEX(Φύλλο2!$AC$51:$AF$59,9-$F9,Q9))),IF($D9=3,IF($AS9=Q3,0,IF(Q9="",INDEX(Φύλλο2!$AJ$51:$AJ$59,9-$F9,1),INDEX(Φύλλο2!$AK$51:$AN$59,9-$F9,Q9))),IF($D9=4,IF($AS9=Q3,0,IF(Q9="",INDEX(Φύλλο2!$AR$51:$AR$59,9-$F9,1),INDEX(Φύλλο2!$AS$51:$AV$59,9-$F9,Q9))),IF($D9=5,IF($AS9=Q3,0,IF(Q9="",INDEX(Φύλλο2!$AZ$51:$AZ$59,9-$F9,1),INDEX(Φύλλο2!$BA$51:$BD$59,9-$F9,Q9))),IF($D9=0,IF($AS9=Q3,0,IF(AND($AS$7=$AS$8,$AS$8=$AS$9),IF(Q9="",INDEX(Φύλλο2!$L$51:$L$59,9-$F9,1),INDEX(Φύλλο2!$M$51:$P$59,9-$F9,Q9)),IF(Q9="",INDEX(Φύλλο2!$D$51:$D$59,9-$F9,1),INDEX(Φύλλο2!$E$51:$H$59,9-$F9,Q9)))))))))),"")</f>
        <v/>
      </c>
      <c r="S9" s="70"/>
      <c r="T9" s="69"/>
      <c r="U9" s="69"/>
      <c r="V9" s="69"/>
      <c r="W9" s="38"/>
      <c r="X9" s="35"/>
      <c r="Y9" s="60">
        <f>IF(G9&lt;&gt;"",RANK(G9,Rank5,0),6)</f>
        <v>6</v>
      </c>
      <c r="Z9" s="60">
        <f>IF(I9&lt;&gt;"",RANK(I9,Rank5,0),6)</f>
        <v>6</v>
      </c>
      <c r="AA9" s="60">
        <f>IF(K9&lt;&gt;"",RANK(K9,Rank5,0),6)</f>
        <v>6</v>
      </c>
      <c r="AB9" s="60">
        <f>IF(M9&lt;&gt;"",RANK(M9,Rank5,0),6)</f>
        <v>6</v>
      </c>
      <c r="AC9" s="60">
        <f>IF(O9&lt;&gt;"",RANK(O9,Rank5,0),6)</f>
        <v>6</v>
      </c>
      <c r="AD9" s="60">
        <f>IF(Q9&lt;&gt;"",RANK(Q9,Rank5,0),6)</f>
        <v>6</v>
      </c>
      <c r="AE9" s="60">
        <f t="shared" si="8"/>
        <v>0</v>
      </c>
      <c r="AF9" s="1">
        <f t="shared" ca="1" si="9"/>
        <v>44454.006083796296</v>
      </c>
      <c r="AG9" s="2">
        <f t="shared" ca="1" si="10"/>
        <v>6.0837962955702096E-3</v>
      </c>
      <c r="AH9">
        <f ca="1">ROUNDDOWN(AG9,7)</f>
        <v>6.0837E-3</v>
      </c>
      <c r="AI9">
        <f ca="1">AH9/0.0000004</f>
        <v>15209.25</v>
      </c>
      <c r="AJ9" s="2">
        <f t="shared" ca="1" si="11"/>
        <v>0.25</v>
      </c>
      <c r="AK9" s="7">
        <f t="shared" ca="1" si="2"/>
        <v>44452.306083796298</v>
      </c>
      <c r="AL9" s="5">
        <f t="shared" ca="1" si="3"/>
        <v>6.0837962955702096E-3</v>
      </c>
      <c r="AM9" s="6">
        <f t="shared" ca="1" si="4"/>
        <v>6.0800000000000003E-3</v>
      </c>
      <c r="AN9">
        <f t="shared" ca="1" si="5"/>
        <v>304</v>
      </c>
      <c r="AO9" s="2">
        <f t="shared" ca="1" si="6"/>
        <v>0</v>
      </c>
      <c r="AP9" s="35">
        <v>26</v>
      </c>
      <c r="AQ9" s="35" t="str">
        <f t="shared" si="1"/>
        <v/>
      </c>
      <c r="AR9" s="38">
        <f>IF(COUNT(G9,I9,K9,M9,O9,Q9)=0,0,IF(COUNT(G9,I9,K9,M9,O9,Q9)=6,IF(F9=0,34,IF(F9=1,26,IF(F9=2,18,16))),IF(COUNT(G9,I9,K9,M9,O9,Q9)=5,IF(F9=0,26,IF(F9=1,18,IF(F9=2,16,IF(F9=3,13,10)))),IF(COUNT(G9,I9,K9,M9,O9,Q9)=4,IF(F9=0,18,IF(F9=1,16,IF(F9=2,13,IF(F9=3,10,IF(F9=4,8,5))))),IF(COUNT(G9,I9,K9,M9,O9,Q9)=3,IF(F9=0,13,IF(F9=1,10,IF(F9=2,10,IF(F9=3,8,IF(F9=4,5,IF(F9=5,2,0)))))),IF(COUNT(G9,I9,K9,M9,O9,Q9)=2,IF(F9=4,2,IF(F9=5,0,IF(F9=6,-3,IF(F9=7,-5,5)))),IF(COUNT(G9,I9,K9,M9,O9,Q9)=1,IF(F9=5,-3,IF(F9=6,-5,IF(F9=7,-8,IF(F9=8,-11,0)))))))))))</f>
        <v>0</v>
      </c>
      <c r="AS9" s="57" t="str">
        <f>IF(F9&lt;&gt;9,INDEX(S3:X9,1,MATCH(AE9,S9:X9,0)),"-")</f>
        <v>-</v>
      </c>
      <c r="AT9" s="96">
        <f>IF(AQ9="",0,IF(AND(AS7=AS8,AS8=AS9),AQ9+19,AQ9))+AR9</f>
        <v>0</v>
      </c>
      <c r="AZ9" s="3"/>
      <c r="BR9" s="3" t="s">
        <v>4</v>
      </c>
      <c r="BS9">
        <f>SUMPRODUCT($M$5:$M$26,$AT$5:$AT$26)+SUMPRODUCT(--($AS$5:$AS$26="Iron"),--($D$5:$D$26*$E$5:$E$26))</f>
        <v>0</v>
      </c>
    </row>
    <row r="10" spans="1:83" ht="19.5" thickTop="1" x14ac:dyDescent="0.25">
      <c r="A10" s="12">
        <v>6</v>
      </c>
      <c r="B10" s="36">
        <v>140</v>
      </c>
      <c r="C10" s="36">
        <f t="shared" si="0"/>
        <v>0</v>
      </c>
      <c r="D10" s="36"/>
      <c r="E10" s="4">
        <v>100</v>
      </c>
      <c r="F10" s="91">
        <f t="shared" si="7"/>
        <v>9</v>
      </c>
      <c r="G10" s="85"/>
      <c r="H10" s="86" t="str">
        <f>IF($F10&lt;&gt;9,IF($D10=1,IF($AS10=G3,0,IF(G10="",INDEX(Φύλλο2!$T$63:$T$71,9-$F10,1),INDEX(Φύλλο2!$U$63:$X$71,9-$F10,G10))),IF($D10=2,IF($AS10=G3,0,IF(G10="",INDEX(Φύλλο2!$AB$63:$AB$71,9-$F10,1),INDEX(Φύλλο2!$AC$63:$AF$71,9-$F10,G10))),IF($D10=3,IF($AS10=G3,0,IF(G10="",INDEX(Φύλλο2!$AJ$63:$AJ$71,9-$F10,1),INDEX(Φύλλο2!$AK$63:$AN$71,9-$F10,G10))),IF($D10=4,IF($AS10=G3,0,IF(G10="",INDEX(Φύλλο2!$AR$63:$AR$71,9-$F10,1),INDEX(Φύλλο2!$AS$63:$AV$71,9-$F10,G10))),IF($D10=5,IF($AS10=G3,0,IF(G10="",INDEX(Φύλλο2!$AZ$63:$AZ$71,9-$F10,1),INDEX(Φύλλο2!$BA$63:$BD$71,9-$F10,G10))),IF($D10=0,IF($AS10=G3,0,IF(AND($AS$10=$AS$11,$AS$11=$AS$12),IF(G10="",INDEX(Φύλλο2!$L$63:$L$71,9-$F10,1),INDEX(Φύλλο2!$M$63:$P$71,9-$F10,G10)),IF(G10="",INDEX(Φύλλο2!$D$63:$D$71,9-$F10,1),INDEX(Φύλλο2!$E$63:$H$71,9-$F10,G10)))))))))),"")</f>
        <v/>
      </c>
      <c r="I10" s="85"/>
      <c r="J10" s="86" t="str">
        <f>IF($F10&lt;&gt;9,IF($D10=1,IF($AS10=I3,0,IF(I10="",INDEX(Φύλλο2!$T$63:$T$71,9-$F10,1),INDEX(Φύλλο2!$U$63:$X$71,9-$F10,I10))),IF($D10=2,IF($AS10=I3,0,IF(I10="",INDEX(Φύλλο2!$AB$63:$AB$71,9-$F10,1),INDEX(Φύλλο2!$AC$63:$AF$71,9-$F10,I10))),IF($D10=3,IF($AS10=I3,0,IF(I10="",INDEX(Φύλλο2!$AJ$63:$AJ$71,9-$F10,1),INDEX(Φύλλο2!$AK$63:$AN$71,9-$F10,I10))),IF($D10=4,IF($AS10=I3,0,IF(I10="",INDEX(Φύλλο2!$AR$63:$AR$71,9-$F10,1),INDEX(Φύλλο2!$AS$63:$AV$71,9-$F10,I10))),IF($D10=5,IF($AS10=I3,0,IF(I10="",INDEX(Φύλλο2!$AZ$63:$AZ$71,9-$F10,1),INDEX(Φύλλο2!$BA$63:$BD$71,9-$F10,I10))),IF($D10=0,IF($AS10=I3,0,IF(AND($AS$10=$AS$11,$AS$11=$AS$12),IF(I10="",INDEX(Φύλλο2!$L$63:$L$71,9-$F10,1),INDEX(Φύλλο2!$M$63:$P$71,9-$F10,I10)),IF(I10="",INDEX(Φύλλο2!$D$63:$D$71,9-$F10,1),INDEX(Φύλλο2!$E$63:$H$71,9-$F10,I10)))))))))),"")</f>
        <v/>
      </c>
      <c r="K10" s="85"/>
      <c r="L10" s="86" t="str">
        <f>IF($F10&lt;&gt;9,IF($D10=1,IF($AS10=K3,0,IF(K10="",INDEX(Φύλλο2!$T$63:$T$71,9-$F10,1),INDEX(Φύλλο2!$U$63:$X$71,9-$F10,K10))),IF($D10=2,IF($AS10=K3,0,IF(K10="",INDEX(Φύλλο2!$AB$63:$AB$71,9-$F10,1),INDEX(Φύλλο2!$AC$63:$AF$71,9-$F10,K10))),IF($D10=3,IF($AS10=K3,0,IF(K10="",INDEX(Φύλλο2!$AJ$63:$AJ$71,9-$F10,1),INDEX(Φύλλο2!$AK$63:$AN$71,9-$F10,K10))),IF($D10=4,IF($AS10=K3,0,IF(K10="",INDEX(Φύλλο2!$AR$63:$AR$71,9-$F10,1),INDEX(Φύλλο2!$AS$63:$AV$71,9-$F10,K10))),IF($D10=5,IF($AS10=K3,0,IF(K10="",INDEX(Φύλλο2!$AZ$63:$AZ$71,9-$F10,1),INDEX(Φύλλο2!$BA$63:$BD$71,9-$F10,K10))),IF($D10=0,IF($AS10=K3,0,IF(AND($AS$10=$AS$11,$AS$11=$AS$12),IF(K10="",INDEX(Φύλλο2!$L$63:$L$71,9-$F10,1),INDEX(Φύλλο2!$M$63:$P$71,9-$F10,K10)),IF(K10="",INDEX(Φύλλο2!$D$63:$D$71,9-$F10,1),INDEX(Φύλλο2!$E$63:$H$71,9-$F10,K10)))))))))),"")</f>
        <v/>
      </c>
      <c r="M10" s="85"/>
      <c r="N10" s="86" t="str">
        <f>IF($F10&lt;&gt;9,IF($D10=1,IF($AS10=M3,0,IF(M10="",INDEX(Φύλλο2!$T$63:$T$71,9-$F10,1),INDEX(Φύλλο2!$U$63:$X$71,9-$F10,M10))),IF($D10=2,IF($AS10=M3,0,IF(M10="",INDEX(Φύλλο2!$AB$63:$AB$71,9-$F10,1),INDEX(Φύλλο2!$AC$63:$AF$71,9-$F10,M10))),IF($D10=3,IF($AS10=M3,0,IF(M10="",INDEX(Φύλλο2!$AJ$63:$AJ$71,9-$F10,1),INDEX(Φύλλο2!$AK$63:$AN$71,9-$F10,M10))),IF($D10=4,IF($AS10=M3,0,IF(M10="",INDEX(Φύλλο2!$AR$63:$AR$71,9-$F10,1),INDEX(Φύλλο2!$AS$63:$AV$71,9-$F10,M10))),IF($D10=5,IF($AS10=M3,0,IF(M10="",INDEX(Φύλλο2!$AZ$63:$AZ$71,9-$F10,1),INDEX(Φύλλο2!$BA$63:$BD$71,9-$F10,M10))),IF($D10=0,IF($AS10=M3,0,IF(AND($AS$10=$AS$11,$AS$11=$AS$12),IF(M10="",INDEX(Φύλλο2!$L$63:$L$71,9-$F10,1),INDEX(Φύλλο2!$M$63:$P$71,9-$F10,M10)),IF(M10="",INDEX(Φύλλο2!$D$63:$D$71,9-$F10,1),INDEX(Φύλλο2!$E$63:$H$71,9-$F10,M10)))))))))),"")</f>
        <v/>
      </c>
      <c r="O10" s="85"/>
      <c r="P10" s="86" t="str">
        <f>IF($F10&lt;&gt;9,IF($D10=1,IF($AS10=O3,0,IF(O10="",INDEX(Φύλλο2!$T$63:$T$71,9-$F10,1),INDEX(Φύλλο2!$U$63:$X$71,9-$F10,O10))),IF($D10=2,IF($AS10=O3,0,IF(O10="",INDEX(Φύλλο2!$AB$63:$AB$71,9-$F10,1),INDEX(Φύλλο2!$AC$63:$AF$71,9-$F10,O10))),IF($D10=3,IF($AS10=O3,0,IF(O10="",INDEX(Φύλλο2!$AJ$63:$AJ$71,9-$F10,1),INDEX(Φύλλο2!$AK$63:$AN$71,9-$F10,O10))),IF($D10=4,IF($AS10=O3,0,IF(O10="",INDEX(Φύλλο2!$AR$63:$AR$71,9-$F10,1),INDEX(Φύλλο2!$AS$63:$AV$71,9-$F10,O10))),IF($D10=5,IF($AS10=O3,0,IF(O10="",INDEX(Φύλλο2!$AZ$63:$AZ$71,9-$F10,1),INDEX(Φύλλο2!$BA$63:$BD$71,9-$F10,O10))),IF($D10=0,IF($AS10=O3,0,IF(AND($AS$10=$AS$11,$AS$11=$AS$12),IF(O10="",INDEX(Φύλλο2!$L$63:$L$71,9-$F10,1),INDEX(Φύλλο2!$M$63:$P$71,9-$F10,O10)),IF(O10="",INDEX(Φύλλο2!$D$63:$D$71,9-$F10,1),INDEX(Φύλλο2!$E$63:$H$71,9-$F10,O10)))))))))),"")</f>
        <v/>
      </c>
      <c r="Q10" s="80"/>
      <c r="R10" s="76" t="str">
        <f>IF($F10&lt;&gt;9,IF($D10=1,IF($AS10=Q3,0,IF(Q10="",INDEX(Φύλλο2!$T$63:$T$71,9-$F10,1),INDEX(Φύλλο2!$U$63:$X$71,9-$F10,Q10))),IF($D10=2,IF($AS10=Q3,0,IF(Q10="",INDEX(Φύλλο2!$AB$63:$AB$71,9-$F10,1),INDEX(Φύλλο2!$AC$63:$AF$71,9-$F10,Q10))),IF($D10=3,IF($AS10=Q3,0,IF(Q10="",INDEX(Φύλλο2!$AJ$63:$AJ$71,9-$F10,1),INDEX(Φύλλο2!$AK$63:$AN$71,9-$F10,Q10))),IF($D10=4,IF($AS10=Q3,0,IF(Q10="",INDEX(Φύλλο2!$AR$63:$AR$71,9-$F10,1),INDEX(Φύλλο2!$AS$63:$AV$71,9-$F10,Q10))),IF($D10=5,IF($AS10=Q3,0,IF(Q10="",INDEX(Φύλλο2!$AZ$63:$AZ$71,9-$F10,1),INDEX(Φύλλο2!$BA$63:$BD$71,9-$F10,Q10))),IF($D10=0,IF($AS10=Q3,0,IF(AND($AS$10=$AS$11,$AS$11=$AS$12),IF(Q10="",INDEX(Φύλλο2!$L$63:$L$71,9-$F10,1),INDEX(Φύλλο2!$M$63:$P$71,9-$F10,Q10)),IF(Q10="",INDEX(Φύλλο2!$D$63:$D$71,9-$F10,1),INDEX(Φύλλο2!$E$63:$H$71,9-$F10,Q10)))))))))),"")</f>
        <v/>
      </c>
      <c r="S10" s="63"/>
      <c r="T10" s="64"/>
      <c r="U10" s="64"/>
      <c r="V10" s="64"/>
      <c r="W10" s="64"/>
      <c r="X10" s="36"/>
      <c r="Y10" s="60">
        <f>IF(G10&lt;&gt;"",RANK(G10,Rank6,0),6)</f>
        <v>6</v>
      </c>
      <c r="Z10" s="60">
        <f>IF(I10&lt;&gt;"",RANK(I10,Rank6,0),6)</f>
        <v>6</v>
      </c>
      <c r="AA10" s="60">
        <f>IF(K10&lt;&gt;"",RANK(K10,Rank6,0),6)</f>
        <v>6</v>
      </c>
      <c r="AB10" s="60">
        <f>IF(M10&lt;&gt;"",RANK(M10,Rank6,0),6)</f>
        <v>6</v>
      </c>
      <c r="AC10" s="60">
        <f>IF(O10&lt;&gt;"",RANK(O10,Rank6,0),6)</f>
        <v>6</v>
      </c>
      <c r="AD10" s="60">
        <f>IF(Q10&lt;&gt;"",RANK(Q10,Rank6,0),6)</f>
        <v>6</v>
      </c>
      <c r="AE10" s="60">
        <f t="shared" si="8"/>
        <v>0</v>
      </c>
      <c r="AF10" s="1">
        <f t="shared" ca="1" si="9"/>
        <v>44454.006083796296</v>
      </c>
      <c r="AG10" s="2">
        <f t="shared" ca="1" si="10"/>
        <v>6.0837962955702096E-3</v>
      </c>
      <c r="AH10">
        <f ca="1">ROUNDDOWN(AG10,8)</f>
        <v>6.0837900000000004E-3</v>
      </c>
      <c r="AI10">
        <f ca="1">AH10/0.00000004</f>
        <v>152094.75</v>
      </c>
      <c r="AJ10" s="2">
        <f t="shared" ca="1" si="11"/>
        <v>0.75</v>
      </c>
      <c r="AK10" s="7">
        <f t="shared" ca="1" si="2"/>
        <v>44452.306083796298</v>
      </c>
      <c r="AL10" s="5">
        <f t="shared" ca="1" si="3"/>
        <v>6.0837962955702096E-3</v>
      </c>
      <c r="AM10" s="6">
        <f t="shared" ca="1" si="4"/>
        <v>6.0800000000000003E-3</v>
      </c>
      <c r="AN10">
        <f t="shared" ca="1" si="5"/>
        <v>304</v>
      </c>
      <c r="AO10" s="2">
        <f t="shared" ca="1" si="6"/>
        <v>0</v>
      </c>
      <c r="AP10" s="36">
        <v>30</v>
      </c>
      <c r="AQ10" s="36" t="str">
        <f t="shared" si="1"/>
        <v/>
      </c>
      <c r="AR10" s="39">
        <f>IF(COUNT(G10,I10,K10,M10,O10,Q10)=0,0,IF(COUNT(G10,I10,K10,M10,O10,Q10)=6,IF(F10=0,40,IF(F10=1,31,IF(F10=2,22,19))),IF(COUNT(G10,I10,K10,M10,O10,Q10)=5,IF(F10=0,31,IF(F10=1,22,IF(F10=2,19,IF(F10=3,15,12)))),IF(COUNT(G10,I10,K10,M10,O10,Q10)=4,IF(F10=0,22,IF(F10=1,19,IF(F10=2,15,IF(F10=3,12,IF(F10=4,9,6))))),IF(COUNT(G10,I10,K10,M10,O10,Q10)=3,IF(F10=0,15,IF(F10=1,12,IF(F10=2,12,IF(F10=3,9,IF(F10=4,6,IF(F10=5,3,0)))))),IF(COUNT(G10,I10,K10,M10,O10,Q10)=2,IF(F10=4,3,IF(F10=5,0,IF(F10=6,-3,IF(F10=7,-6,6)))),IF(COUNT(G10,I10,K10,M10,O10,Q10)=1,IF(F10=5,-3,IF(F10=6,-6,IF(F10=7,-9,IF(F10=8,-12,0)))))))))))</f>
        <v>0</v>
      </c>
      <c r="AS10" s="67" t="str">
        <f>IF(F10&lt;&gt;9,INDEX(S3:X10,1,MATCH(AE10,S10:X10,0)),"-")</f>
        <v>-</v>
      </c>
      <c r="AT10" s="95">
        <f>IF(AQ10="",0,IF(AND(AS10=AS11,AS11=AS12),AQ10+22,AQ10))+AR10</f>
        <v>0</v>
      </c>
      <c r="AZ10" s="3"/>
      <c r="BR10" s="3" t="s">
        <v>5</v>
      </c>
      <c r="BS10">
        <f>SUMPRODUCT($O$5:$O$26,$AT$5:$AT$26)+SUMPRODUCT(--($AS$5:$AS$26="Dog"),--($D$5:$D$26*$E$5:$E$26))</f>
        <v>0</v>
      </c>
    </row>
    <row r="11" spans="1:83" ht="18.75" x14ac:dyDescent="0.25">
      <c r="A11" s="12">
        <v>7</v>
      </c>
      <c r="B11" s="36">
        <v>140</v>
      </c>
      <c r="C11" s="36">
        <f t="shared" si="0"/>
        <v>0</v>
      </c>
      <c r="D11" s="36"/>
      <c r="E11" s="4">
        <v>100</v>
      </c>
      <c r="F11" s="91">
        <f t="shared" si="7"/>
        <v>9</v>
      </c>
      <c r="G11" s="85"/>
      <c r="H11" s="86" t="str">
        <f>IF($F11&lt;&gt;9,IF($D11=1,IF($AS11=G3,0,IF(G11="",INDEX(Φύλλο2!$T$75:$T$83,9-$F11,1),INDEX(Φύλλο2!$U$75:$X$83,9-$F11,G11))),IF($D11=2,IF($AS11=G3,0,IF(G11="",INDEX(Φύλλο2!$AB$75:$AB$83,9-$F11,1),INDEX(Φύλλο2!$AC$75:$AF$83,9-$F11,G11))),IF($D11=3,IF($AS11=G3,0,IF(G11="",INDEX(Φύλλο2!$AJ$75:$AJ$83,9-$F11,1),INDEX(Φύλλο2!$AK$75:$AN$83,9-$F11,G11))),IF($D11=4,IF($AS11=G3,0,IF(G11="",INDEX(Φύλλο2!$AR$75:$AR$83,9-$F11,1),INDEX(Φύλλο2!$AS$75:$AV$83,9-$F11,G11))),IF($D11=5,IF($AS11=G3,0,IF(G11="",INDEX(Φύλλο2!$AZ$75:$AZ$83,9-$F11,1),INDEX(Φύλλο2!$BA$75:$BD$83,9-$F11,G11))),IF($D11=0,IF($AS11=G3,0,IF(AND($AS$10=$AS$11,$AS$11=$AS$12),IF(G11="",INDEX(Φύλλο2!$L$75:$L$83,9-$F11,1),INDEX(Φύλλο2!$M$75:$P$83,9-$F11,G11)),IF(G11="",INDEX(Φύλλο2!$D$75:$D$83,9-$F11,1),INDEX(Φύλλο2!$E$75:$H$83,9-$F11,G11)))))))))),"")</f>
        <v/>
      </c>
      <c r="I11" s="85"/>
      <c r="J11" s="86" t="str">
        <f>IF($F11&lt;&gt;9,IF($D11=1,IF($AS11=I3,0,IF(I11="",INDEX(Φύλλο2!$T$75:$T$83,9-$F11,1),INDEX(Φύλλο2!$U$75:$X$83,9-$F11,I11))),IF($D11=2,IF($AS11=I3,0,IF(I11="",INDEX(Φύλλο2!$AB$75:$AB$83,9-$F11,1),INDEX(Φύλλο2!$AC$75:$AF$83,9-$F11,I11))),IF($D11=3,IF($AS11=I3,0,IF(I11="",INDEX(Φύλλο2!$AJ$75:$AJ$83,9-$F11,1),INDEX(Φύλλο2!$AK$75:$AN$83,9-$F11,I11))),IF($D11=4,IF($AS11=I3,0,IF(I11="",INDEX(Φύλλο2!$AR$75:$AR$83,9-$F11,1),INDEX(Φύλλο2!$AS$75:$AV$83,9-$F11,I11))),IF($D11=5,IF($AS11=I3,0,IF(I11="",INDEX(Φύλλο2!$AZ$75:$AZ$83,9-$F11,1),INDEX(Φύλλο2!$BA$75:$BD$83,9-$F11,I11))),IF($D11=0,IF($AS11=I3,0,IF(AND($AS$10=$AS$11,$AS$11=$AS$12),IF(I11="",INDEX(Φύλλο2!$L$75:$L$83,9-$F11,1),INDEX(Φύλλο2!$M$75:$P$83,9-$F11,I11)),IF(I11="",INDEX(Φύλλο2!$D$75:$D$83,9-$F11,1),INDEX(Φύλλο2!$E$75:$H$83,9-$F11,I11)))))))))),"")</f>
        <v/>
      </c>
      <c r="K11" s="85"/>
      <c r="L11" s="86" t="str">
        <f>IF($F11&lt;&gt;9,IF($D11=1,IF($AS11=K3,0,IF(K11="",INDEX(Φύλλο2!$T$75:$T$83,9-$F11,1),INDEX(Φύλλο2!$U$75:$X$83,9-$F11,K11))),IF($D11=2,IF($AS11=K3,0,IF(K11="",INDEX(Φύλλο2!$AB$75:$AB$83,9-$F11,1),INDEX(Φύλλο2!$AC$75:$AF$83,9-$F11,K11))),IF($D11=3,IF($AS11=K3,0,IF(K11="",INDEX(Φύλλο2!$AJ$75:$AJ$83,9-$F11,1),INDEX(Φύλλο2!$AK$75:$AN$83,9-$F11,K11))),IF($D11=4,IF($AS11=K3,0,IF(K11="",INDEX(Φύλλο2!$AR$75:$AR$83,9-$F11,1),INDEX(Φύλλο2!$AS$75:$AV$83,9-$F11,K11))),IF($D11=5,IF($AS11=K3,0,IF(K11="",INDEX(Φύλλο2!$AZ$75:$AZ$83,9-$F11,1),INDEX(Φύλλο2!$BA$75:$BD$83,9-$F11,K11))),IF($D11=0,IF($AS11=K3,0,IF(AND($AS$10=$AS$11,$AS$11=$AS$12),IF(K11="",INDEX(Φύλλο2!$L$75:$L$83,9-$F11,1),INDEX(Φύλλο2!$M$75:$P$83,9-$F11,K11)),IF(K11="",INDEX(Φύλλο2!$D$75:$D$83,9-$F11,1),INDEX(Φύλλο2!$E$75:$H$83,9-$F11,K11)))))))))),"")</f>
        <v/>
      </c>
      <c r="M11" s="85"/>
      <c r="N11" s="86" t="str">
        <f>IF($F11&lt;&gt;9,IF($D11=1,IF($AS11=M3,0,IF(M11="",INDEX(Φύλλο2!$T$75:$T$83,9-$F11,1),INDEX(Φύλλο2!$U$75:$X$83,9-$F11,M11))),IF($D11=2,IF($AS11=M3,0,IF(M11="",INDEX(Φύλλο2!$AB$75:$AB$83,9-$F11,1),INDEX(Φύλλο2!$AC$75:$AF$83,9-$F11,M11))),IF($D11=3,IF($AS11=M3,0,IF(M11="",INDEX(Φύλλο2!$AJ$75:$AJ$83,9-$F11,1),INDEX(Φύλλο2!$AK$75:$AN$83,9-$F11,M11))),IF($D11=4,IF($AS11=M3,0,IF(M11="",INDEX(Φύλλο2!$AR$75:$AR$83,9-$F11,1),INDEX(Φύλλο2!$AS$75:$AV$83,9-$F11,M11))),IF($D11=5,IF($AS11=M3,0,IF(M11="",INDEX(Φύλλο2!$AZ$75:$AZ$83,9-$F11,1),INDEX(Φύλλο2!$BA$75:$BD$83,9-$F11,M11))),IF($D11=0,IF($AS11=M3,0,IF(AND($AS$10=$AS$11,$AS$11=$AS$12),IF(M11="",INDEX(Φύλλο2!$L$75:$L$83,9-$F11,1),INDEX(Φύλλο2!$M$75:$P$83,9-$F11,M11)),IF(M11="",INDEX(Φύλλο2!$D$75:$D$83,9-$F11,1),INDEX(Φύλλο2!$E$75:$H$83,9-$F11,M11)))))))))),"")</f>
        <v/>
      </c>
      <c r="O11" s="85"/>
      <c r="P11" s="86" t="str">
        <f>IF($F11&lt;&gt;9,IF($D11=1,IF($AS11=O3,0,IF(O11="",INDEX(Φύλλο2!$T$75:$T$83,9-$F11,1),INDEX(Φύλλο2!$U$75:$X$83,9-$F11,O11))),IF($D11=2,IF($AS11=O3,0,IF(O11="",INDEX(Φύλλο2!$AB$75:$AB$83,9-$F11,1),INDEX(Φύλλο2!$AC$75:$AF$83,9-$F11,O11))),IF($D11=3,IF($AS11=O3,0,IF(O11="",INDEX(Φύλλο2!$AJ$75:$AJ$83,9-$F11,1),INDEX(Φύλλο2!$AK$75:$AN$83,9-$F11,O11))),IF($D11=4,IF($AS11=O3,0,IF(O11="",INDEX(Φύλλο2!$AR$75:$AR$83,9-$F11,1),INDEX(Φύλλο2!$AS$75:$AV$83,9-$F11,O11))),IF($D11=5,IF($AS11=O3,0,IF(O11="",INDEX(Φύλλο2!$AZ$75:$AZ$83,9-$F11,1),INDEX(Φύλλο2!$BA$75:$BD$83,9-$F11,O11))),IF($D11=0,IF($AS11=O3,0,IF(AND($AS$10=$AS$11,$AS$11=$AS$12),IF(O11="",INDEX(Φύλλο2!$L$75:$L$83,9-$F11,1),INDEX(Φύλλο2!$M$75:$P$83,9-$F11,O11)),IF(O11="",INDEX(Φύλλο2!$D$75:$D$83,9-$F11,1),INDEX(Φύλλο2!$E$75:$H$83,9-$F11,O11)))))))))),"")</f>
        <v/>
      </c>
      <c r="Q11" s="80"/>
      <c r="R11" s="76" t="str">
        <f>IF($F11&lt;&gt;9,IF($D11=1,IF($AS11=Q3,0,IF(Q11="",INDEX(Φύλλο2!$T$75:$T$83,9-$F11,1),INDEX(Φύλλο2!$U$75:$X$83,9-$F11,Q11))),IF($D11=2,IF($AS11=Q3,0,IF(Q11="",INDEX(Φύλλο2!$AB$75:$AB$83,9-$F11,1),INDEX(Φύλλο2!$AC$75:$AF$83,9-$F11,Q11))),IF($D11=3,IF($AS11=Q3,0,IF(Q11="",INDEX(Φύλλο2!$AJ$75:$AJ$83,9-$F11,1),INDEX(Φύλλο2!$AK$75:$AN$83,9-$F11,Q11))),IF($D11=4,IF($AS11=Q3,0,IF(Q11="",INDEX(Φύλλο2!$AR$75:$AR$83,9-$F11,1),INDEX(Φύλλο2!$AS$75:$AV$83,9-$F11,Q11))),IF($D11=5,IF($AS11=Q3,0,IF(Q11="",INDEX(Φύλλο2!$AZ$75:$AZ$83,9-$F11,1),INDEX(Φύλλο2!$BA$75:$BD$83,9-$F11,Q11))),IF($D11=0,IF($AS11=Q3,0,IF(AND($AS$10=$AS$11,$AS$11=$AS$12),IF(Q11="",INDEX(Φύλλο2!$L$75:$L$83,9-$F11,1),INDEX(Φύλλο2!$M$75:$P$83,9-$F11,Q11)),IF(Q11="",INDEX(Φύλλο2!$D$75:$D$83,9-$F11,1),INDEX(Φύλλο2!$E$75:$H$83,9-$F11,Q11)))))))))),"")</f>
        <v/>
      </c>
      <c r="S11" s="63"/>
      <c r="T11" s="64"/>
      <c r="U11" s="64"/>
      <c r="V11" s="64"/>
      <c r="W11" s="64"/>
      <c r="X11" s="36"/>
      <c r="Y11" s="60">
        <f>IF(G11&lt;&gt;"",RANK(G11,Rank7,0),6)</f>
        <v>6</v>
      </c>
      <c r="Z11" s="60">
        <f>IF(I11&lt;&gt;"",RANK(I11,Rank7,0),6)</f>
        <v>6</v>
      </c>
      <c r="AA11" s="60">
        <f>IF(K11&lt;&gt;"",RANK(K11,Rank7,0),6)</f>
        <v>6</v>
      </c>
      <c r="AB11" s="60">
        <f>IF(M11&lt;&gt;"",RANK(M11,Rank7,0),6)</f>
        <v>6</v>
      </c>
      <c r="AC11" s="60">
        <f>IF(O11&lt;&gt;"",RANK(O11,Rank7,0),6)</f>
        <v>6</v>
      </c>
      <c r="AD11" s="60">
        <f>IF(Q11&lt;&gt;"",RANK(Q11,Rank7,0),6)</f>
        <v>6</v>
      </c>
      <c r="AE11" s="60">
        <f t="shared" si="8"/>
        <v>0</v>
      </c>
      <c r="AF11" s="1">
        <f t="shared" ca="1" si="9"/>
        <v>44454.006083796296</v>
      </c>
      <c r="AG11" s="2">
        <f t="shared" ca="1" si="10"/>
        <v>6.0837962955702096E-3</v>
      </c>
      <c r="AH11">
        <f ca="1">ROUNDDOWN(AG11,6)</f>
        <v>6.0829999999999999E-3</v>
      </c>
      <c r="AI11">
        <f ca="1">AH11/0.000004</f>
        <v>1520.75</v>
      </c>
      <c r="AJ11" s="2">
        <f t="shared" ca="1" si="11"/>
        <v>0.75</v>
      </c>
      <c r="AK11" s="7">
        <f t="shared" ca="1" si="2"/>
        <v>44452.306083796298</v>
      </c>
      <c r="AL11" s="5">
        <f t="shared" ca="1" si="3"/>
        <v>6.0837962955702096E-3</v>
      </c>
      <c r="AM11" s="6">
        <f t="shared" ca="1" si="4"/>
        <v>6.0800000000000003E-3</v>
      </c>
      <c r="AN11">
        <f t="shared" ca="1" si="5"/>
        <v>304</v>
      </c>
      <c r="AO11" s="2">
        <f t="shared" ca="1" si="6"/>
        <v>0</v>
      </c>
      <c r="AP11" s="36">
        <v>30</v>
      </c>
      <c r="AQ11" s="36" t="str">
        <f t="shared" si="1"/>
        <v/>
      </c>
      <c r="AR11" s="39">
        <f>IF(COUNT(G11,I11,K11,M11,O11,Q11)=0,0,IF(COUNT(G11,I11,K11,M11,O11,Q11)=6,IF(F11=0,40,IF(F11=1,31,IF(F11=2,22,19))),IF(COUNT(G11,I11,K11,M11,O11,Q11)=5,IF(F11=0,31,IF(F11=1,22,IF(F11=2,19,IF(F11=3,15,12)))),IF(COUNT(G11,I11,K11,M11,O11,Q11)=4,IF(F11=0,22,IF(F11=1,19,IF(F11=2,15,IF(F11=3,12,IF(F11=4,9,6))))),IF(COUNT(G11,I11,K11,M11,O11,Q11)=3,IF(F11=0,15,IF(F11=1,12,IF(F11=2,12,IF(F11=3,9,IF(F11=4,6,IF(F11=5,3,0)))))),IF(COUNT(G11,I11,K11,M11,O11,Q11)=2,IF(F11=4,3,IF(F11=5,0,IF(F11=6,-3,IF(F11=7,-6,6)))),IF(COUNT(G11,I11,K11,M11,O11,Q11)=1,IF(F11=5,-3,IF(F11=6,-6,IF(F11=7,-9,IF(F11=8,-12,0)))))))))))</f>
        <v>0</v>
      </c>
      <c r="AS11" s="57" t="str">
        <f>IF(F11&lt;&gt;9,INDEX(S3:X11,1,MATCH(AE11,S11:X11,0)),"-")</f>
        <v>-</v>
      </c>
      <c r="AT11" s="97">
        <f>IF(AQ11="",0,IF(AND(AS10=AS11,AS11=AS12),AQ11+22,AQ11))+AR11</f>
        <v>0</v>
      </c>
      <c r="AZ11" s="3"/>
      <c r="BR11" s="3" t="s">
        <v>26</v>
      </c>
      <c r="BS11">
        <f>SUMPRODUCT($Q$5:$Q$26,$AT$5:$AT$26)+SUMPRODUCT(--($AS$5:$AS$26="Shoe"),--($D$5:$D$26*$E$5:$E$26))</f>
        <v>0</v>
      </c>
    </row>
    <row r="12" spans="1:83" ht="19.5" thickBot="1" x14ac:dyDescent="0.3">
      <c r="A12" s="19">
        <v>8</v>
      </c>
      <c r="B12" s="35">
        <v>160</v>
      </c>
      <c r="C12" s="35">
        <f t="shared" si="0"/>
        <v>0</v>
      </c>
      <c r="D12" s="35"/>
      <c r="E12" s="20">
        <v>100</v>
      </c>
      <c r="F12" s="90">
        <f t="shared" si="7"/>
        <v>9</v>
      </c>
      <c r="G12" s="83"/>
      <c r="H12" s="84" t="str">
        <f>IF($F12&lt;&gt;9,IF($D12=1,IF($AS12=G3,0,IF(G12="",INDEX(Φύλλο2!$T$87:$T$95,9-$F12,1),INDEX(Φύλλο2!$U$87:$X$95,9-$F12,G12))),IF($D12=2,IF($AS12=G3,0,IF(G12="",INDEX(Φύλλο2!$AB$87:$AB$95,9-$F12,1),INDEX(Φύλλο2!$AC$87:$AF$95,9-$F12,G12))),IF($D12=3,IF($AS12=G3,0,IF(G12="",INDEX(Φύλλο2!$AJ$87:$AJ$95,9-$F12,1),INDEX(Φύλλο2!$AK$87:$AN$95,9-$F12,G12))),IF($D12=4,IF($AS12=G3,0,IF(G12="",INDEX(Φύλλο2!$AR$87:$AR$95,9-$F12,1),INDEX(Φύλλο2!$AS$87:$AV$95,9-$F12,G12))),IF($D12=5,IF($AS12=G3,0,IF(G12="",INDEX(Φύλλο2!$AZ$87:$AZ$95,9-$F12,1),INDEX(Φύλλο2!$BA$87:$BD$95,9-$F12,G12))),IF($D12=0,IF($AS12=G3,0,IF(AND($AS$10=$AS$11,$AS$11=$AS$12),IF(G12="",INDEX(Φύλλο2!$L$87:$L$95,9-$F12,1),INDEX(Φύλλο2!$M$87:$P$95,9-$F12,G12)),IF(G12="",INDEX(Φύλλο2!$D$87:$D$95,9-$F12,1),INDEX(Φύλλο2!$E$87:$H$95,9-$F12,G12)))))))))),"")</f>
        <v/>
      </c>
      <c r="I12" s="83"/>
      <c r="J12" s="84" t="str">
        <f>IF($F12&lt;&gt;9,IF($D12=1,IF($AS12=I3,0,IF(I12="",INDEX(Φύλλο2!$T$87:$T$95,9-$F12,1),INDEX(Φύλλο2!$U$87:$X$95,9-$F12,I12))),IF($D12=2,IF($AS12=I3,0,IF(I12="",INDEX(Φύλλο2!$AB$87:$AB$95,9-$F12,1),INDEX(Φύλλο2!$AC$87:$AF$95,9-$F12,I12))),IF($D12=3,IF($AS12=I3,0,IF(I12="",INDEX(Φύλλο2!$AJ$87:$AJ$95,9-$F12,1),INDEX(Φύλλο2!$AK$87:$AN$95,9-$F12,I12))),IF($D12=4,IF($AS12=I3,0,IF(I12="",INDEX(Φύλλο2!$AR$87:$AR$95,9-$F12,1),INDEX(Φύλλο2!$AS$87:$AV$95,9-$F12,I12))),IF($D12=5,IF($AS12=I3,0,IF(I12="",INDEX(Φύλλο2!$AZ$87:$AZ$95,9-$F12,1),INDEX(Φύλλο2!$BA$87:$BD$95,9-$F12,I12))),IF($D12=0,IF($AS12=I3,0,IF(AND($AS$10=$AS$11,$AS$11=$AS$12),IF(I12="",INDEX(Φύλλο2!$L$87:$L$95,9-$F12,1),INDEX(Φύλλο2!$M$87:$P$95,9-$F12,I12)),IF(I12="",INDEX(Φύλλο2!$D$87:$D$95,9-$F12,1),INDEX(Φύλλο2!$E$87:$H$95,9-$F12,I12)))))))))),"")</f>
        <v/>
      </c>
      <c r="K12" s="83"/>
      <c r="L12" s="84" t="str">
        <f>IF($F12&lt;&gt;9,IF($D12=1,IF($AS12=K3,0,IF(K12="",INDEX(Φύλλο2!$T$87:$T$95,9-$F12,1),INDEX(Φύλλο2!$U$87:$X$95,9-$F12,K12))),IF($D12=2,IF($AS12=K3,0,IF(K12="",INDEX(Φύλλο2!$AB$87:$AB$95,9-$F12,1),INDEX(Φύλλο2!$AC$87:$AF$95,9-$F12,K12))),IF($D12=3,IF($AS12=K3,0,IF(K12="",INDEX(Φύλλο2!$AJ$87:$AJ$95,9-$F12,1),INDEX(Φύλλο2!$AK$87:$AN$95,9-$F12,K12))),IF($D12=4,IF($AS12=K3,0,IF(K12="",INDEX(Φύλλο2!$AR$87:$AR$95,9-$F12,1),INDEX(Φύλλο2!$AS$87:$AV$95,9-$F12,K12))),IF($D12=5,IF($AS12=K3,0,IF(K12="",INDEX(Φύλλο2!$AZ$87:$AZ$95,9-$F12,1),INDEX(Φύλλο2!$BA$87:$BD$95,9-$F12,K12))),IF($D12=0,IF($AS12=K3,0,IF(AND($AS$10=$AS$11,$AS$11=$AS$12),IF(K12="",INDEX(Φύλλο2!$L$87:$L$95,9-$F12,1),INDEX(Φύλλο2!$M$87:$P$95,9-$F12,K12)),IF(K12="",INDEX(Φύλλο2!$D$87:$D$95,9-$F12,1),INDEX(Φύλλο2!$E$87:$H$95,9-$F12,K12)))))))))),"")</f>
        <v/>
      </c>
      <c r="M12" s="83"/>
      <c r="N12" s="84" t="str">
        <f>IF($F12&lt;&gt;9,IF($D12=1,IF($AS12=M3,0,IF(M12="",INDEX(Φύλλο2!$T$87:$T$95,9-$F12,1),INDEX(Φύλλο2!$U$87:$X$95,9-$F12,M12))),IF($D12=2,IF($AS12=M3,0,IF(M12="",INDEX(Φύλλο2!$AB$87:$AB$95,9-$F12,1),INDEX(Φύλλο2!$AC$87:$AF$95,9-$F12,M12))),IF($D12=3,IF($AS12=M3,0,IF(M12="",INDEX(Φύλλο2!$AJ$87:$AJ$95,9-$F12,1),INDEX(Φύλλο2!$AK$87:$AN$95,9-$F12,M12))),IF($D12=4,IF($AS12=M3,0,IF(M12="",INDEX(Φύλλο2!$AR$87:$AR$95,9-$F12,1),INDEX(Φύλλο2!$AS$87:$AV$95,9-$F12,M12))),IF($D12=5,IF($AS12=M3,0,IF(M12="",INDEX(Φύλλο2!$AZ$87:$AZ$95,9-$F12,1),INDEX(Φύλλο2!$BA$87:$BD$95,9-$F12,M12))),IF($D12=0,IF($AS12=M3,0,IF(AND($AS$10=$AS$11,$AS$11=$AS$12),IF(M12="",INDEX(Φύλλο2!$L$87:$L$95,9-$F12,1),INDEX(Φύλλο2!$M$87:$P$95,9-$F12,M12)),IF(M12="",INDEX(Φύλλο2!$D$87:$D$95,9-$F12,1),INDEX(Φύλλο2!$E$87:$H$95,9-$F12,M12)))))))))),"")</f>
        <v/>
      </c>
      <c r="O12" s="83"/>
      <c r="P12" s="84" t="str">
        <f>IF($F12&lt;&gt;9,IF($D12=1,IF($AS12=O3,0,IF(O12="",INDEX(Φύλλο2!$T$87:$T$95,9-$F12,1),INDEX(Φύλλο2!$U$87:$X$95,9-$F12,O12))),IF($D12=2,IF($AS12=O3,0,IF(O12="",INDEX(Φύλλο2!$AB$87:$AB$95,9-$F12,1),INDEX(Φύλλο2!$AC$87:$AF$95,9-$F12,O12))),IF($D12=3,IF($AS12=O3,0,IF(O12="",INDEX(Φύλλο2!$AJ$87:$AJ$95,9-$F12,1),INDEX(Φύλλο2!$AK$87:$AN$95,9-$F12,O12))),IF($D12=4,IF($AS12=O3,0,IF(O12="",INDEX(Φύλλο2!$AR$87:$AR$95,9-$F12,1),INDEX(Φύλλο2!$AS$87:$AV$95,9-$F12,O12))),IF($D12=5,IF($AS12=O3,0,IF(O12="",INDEX(Φύλλο2!$AZ$87:$AZ$95,9-$F12,1),INDEX(Φύλλο2!$BA$87:$BD$95,9-$F12,O12))),IF($D12=0,IF($AS12=O3,0,IF(AND($AS$10=$AS$11,$AS$11=$AS$12),IF(O12="",INDEX(Φύλλο2!$L$87:$L$95,9-$F12,1),INDEX(Φύλλο2!$M$87:$P$95,9-$F12,O12)),IF(O12="",INDEX(Φύλλο2!$D$87:$D$95,9-$F12,1),INDEX(Φύλλο2!$E$87:$H$95,9-$F12,O12)))))))))),"")</f>
        <v/>
      </c>
      <c r="Q12" s="79"/>
      <c r="R12" s="75" t="str">
        <f>IF($F12&lt;&gt;9,IF($D12=1,IF($AS12=Q3,0,IF(Q12="",INDEX(Φύλλο2!$T$87:$T$95,9-$F12,1),INDEX(Φύλλο2!$U$87:$X$95,9-$F12,Q12))),IF($D12=2,IF($AS12=Q3,0,IF(Q12="",INDEX(Φύλλο2!$AB$87:$AB$95,9-$F12,1),INDEX(Φύλλο2!$AC$87:$AF$95,9-$F12,Q12))),IF($D12=3,IF($AS12=Q3,0,IF(Q12="",INDEX(Φύλλο2!$AJ$87:$AJ$95,9-$F12,1),INDEX(Φύλλο2!$AK$87:$AN$95,9-$F12,Q12))),IF($D12=4,IF($AS12=Q3,0,IF(Q12="",INDEX(Φύλλο2!$AR$87:$AR$95,9-$F12,1),INDEX(Φύλλο2!$AS$87:$AV$95,9-$F12,Q12))),IF($D12=5,IF($AS12=Q3,0,IF(Q12="",INDEX(Φύλλο2!$AZ$87:$AZ$95,9-$F12,1),INDEX(Φύλλο2!$BA$87:$BD$95,9-$F12,Q12))),IF($D12=0,IF($AS12=Q3,0,IF(AND($AS$10=$AS$11,$AS$11=$AS$12),IF(Q12="",INDEX(Φύλλο2!$L$87:$L$95,9-$F12,1),INDEX(Φύλλο2!$M$87:$P$95,9-$F12,Q12)),IF(Q12="",INDEX(Φύλλο2!$D$87:$D$95,9-$F12,1),INDEX(Φύλλο2!$E$87:$H$95,9-$F12,Q12)))))))))),"")</f>
        <v/>
      </c>
      <c r="S12" s="70"/>
      <c r="T12" s="69"/>
      <c r="U12" s="69"/>
      <c r="V12" s="69"/>
      <c r="W12" s="69"/>
      <c r="X12" s="35"/>
      <c r="Y12" s="60">
        <f>IF(G12&lt;&gt;"",RANK(G12,Rank8,0),6)</f>
        <v>6</v>
      </c>
      <c r="Z12" s="60">
        <f>IF(I12&lt;&gt;"",RANK(I12,Rank8,0),6)</f>
        <v>6</v>
      </c>
      <c r="AA12" s="60">
        <f>IF(K12&lt;&gt;"",RANK(K12,Rank8,0),6)</f>
        <v>6</v>
      </c>
      <c r="AB12" s="60">
        <f>IF(M12&lt;&gt;"",RANK(M12,Rank8,0),6)</f>
        <v>6</v>
      </c>
      <c r="AC12" s="60">
        <f>IF(O12&lt;&gt;"",RANK(O12,Rank8,0),6)</f>
        <v>6</v>
      </c>
      <c r="AD12" s="60">
        <f>IF(Q12&lt;&gt;"",RANK(Q12,Rank8,0),6)</f>
        <v>6</v>
      </c>
      <c r="AE12" s="60">
        <f t="shared" si="8"/>
        <v>0</v>
      </c>
      <c r="AF12" s="27">
        <f t="shared" ca="1" si="9"/>
        <v>44454.006083796296</v>
      </c>
      <c r="AG12" s="28">
        <f t="shared" ca="1" si="10"/>
        <v>6.0837962955702096E-3</v>
      </c>
      <c r="AH12">
        <f ca="1">ROUNDDOWN(AG12,7)</f>
        <v>6.0837E-3</v>
      </c>
      <c r="AI12">
        <f ca="1">AH12/0.0000004</f>
        <v>15209.25</v>
      </c>
      <c r="AJ12" s="28">
        <f t="shared" ca="1" si="11"/>
        <v>0.25</v>
      </c>
      <c r="AK12" s="29">
        <f t="shared" ca="1" si="2"/>
        <v>44452.306083796298</v>
      </c>
      <c r="AL12" s="30">
        <f t="shared" ca="1" si="3"/>
        <v>6.0837962955702096E-3</v>
      </c>
      <c r="AM12" s="31">
        <f t="shared" ca="1" si="4"/>
        <v>6.0800000000000003E-3</v>
      </c>
      <c r="AN12" s="21">
        <f t="shared" ca="1" si="5"/>
        <v>304</v>
      </c>
      <c r="AO12" s="28">
        <f t="shared" ca="1" si="6"/>
        <v>0</v>
      </c>
      <c r="AP12" s="35">
        <v>35</v>
      </c>
      <c r="AQ12" s="35" t="str">
        <f t="shared" si="1"/>
        <v/>
      </c>
      <c r="AR12" s="38">
        <f>IF(COUNT(G12,I12,K12,M12,O12,Q12)=0,0,IF(COUNT(G12,I12,K12,M12,O12,Q12)=6,IF(F12=0,45,IF(F12=1,35,IF(F12=2,24,21))),IF(COUNT(G12,I12,K12,M12,O12,Q12)=5,IF(F12=0,35,IF(F12=1,24,IF(F12=2,21,IF(F12=3,17,14)))),IF(COUNT(G12,I12,K12,M12,O12,Q12)=4,IF(F12=0,24,IF(F12=1,21,IF(F12=2,17,IF(F12=3,14,IF(F12=4,10,7))))),IF(COUNT(G12,I12,K12,M12,O12,Q12)=3,IF(F12=0,17,IF(F12=1,14,IF(F12=2,14,IF(F12=3,10,IF(F12=4,7,IF(F12=5,3,0)))))),IF(COUNT(G12,I12,K12,M12,O12,Q12)=2,IF(F12=4,3,IF(F12=5,0,IF(F12=6,-4,IF(F12=7,-7,7)))),IF(COUNT(G12,I12,K12,M12,O12,Q12)=1,IF(F12=5,-4,IF(F12=6,-7,IF(F12=7,-11,IF(F12=8,-14,0)))))))))))</f>
        <v>0</v>
      </c>
      <c r="AS12" s="57" t="str">
        <f>IF(F12&lt;&gt;9,INDEX(S3:X12,1,MATCH(AE12,S12:X12,0)),"-")</f>
        <v>-</v>
      </c>
      <c r="AT12" s="96">
        <f>IF(AQ12="",0,IF(AND(AS10=AS11,AS11=AS12),AQ12+25,AQ12))+AR12</f>
        <v>0</v>
      </c>
    </row>
    <row r="13" spans="1:83" ht="19.5" thickTop="1" x14ac:dyDescent="0.25">
      <c r="A13" s="13">
        <v>9</v>
      </c>
      <c r="B13" s="36">
        <v>180</v>
      </c>
      <c r="C13" s="36">
        <f t="shared" si="0"/>
        <v>0</v>
      </c>
      <c r="D13" s="36"/>
      <c r="E13" s="4">
        <v>100</v>
      </c>
      <c r="F13" s="91">
        <f t="shared" si="7"/>
        <v>9</v>
      </c>
      <c r="G13" s="85"/>
      <c r="H13" s="86" t="str">
        <f>IF($F13&lt;&gt;9,IF($D13=1,IF($AS13=G3,0,IF(G13="",INDEX(Φύλλο2!$T$99:$T$107,9-$F13,1),INDEX(Φύλλο2!$U$99:$X$107,9-$F13,G13))),IF($D13=2,IF($AS13=G3,0,IF(G13="",INDEX(Φύλλο2!$AB$99:$AB$107,9-$F13,1),INDEX(Φύλλο2!$AC$99:$AF$107,9-$F13,G13))),IF($D13=3,IF($AS13=G3,0,IF(G13="",INDEX(Φύλλο2!$AJ$99:$AJ$107,9-$F13,1),INDEX(Φύλλο2!$AK$99:$AN$107,9-$F13,G13))),IF($D13=4,IF($AS13=G3,0,IF(G13="",INDEX(Φύλλο2!$AR$99:$AR$107,9-$F13,1),INDEX(Φύλλο2!$AS$99:$AV$107,9-$F13,G13))),IF($D13=5,IF($AS13=G3,0,IF(G13="",INDEX(Φύλλο2!$AZ$99:$AZ$107,9-$F13,1),INDEX(Φύλλο2!$BA$99:$BD$107,9-$F13,G13))),IF($D13=0,IF($AS13=G3,0,IF(AND($AS$13=$AS$14,$AS$14=$AS$15),IF(G13="",INDEX(Φύλλο2!$L$99:$L$107,9-$F13,1),INDEX(Φύλλο2!$M$99:$P$107,9-$F13,G13)),IF(G13="",INDEX(Φύλλο2!$D$99:$D$107,9-$F13,1),INDEX(Φύλλο2!$E$99:$H$107,9-$F13,G13)))))))))),"")</f>
        <v/>
      </c>
      <c r="I13" s="85"/>
      <c r="J13" s="86" t="str">
        <f>IF($F13&lt;&gt;9,IF($D13=1,IF($AS13=I3,0,IF(I13="",INDEX(Φύλλο2!$T$99:$T$107,9-$F13,1),INDEX(Φύλλο2!$U$99:$X$107,9-$F13,I13))),IF($D13=2,IF($AS13=I3,0,IF(I13="",INDEX(Φύλλο2!$AB$99:$AB$107,9-$F13,1),INDEX(Φύλλο2!$AC$99:$AF$107,9-$F13,I13))),IF($D13=3,IF($AS13=I3,0,IF(I13="",INDEX(Φύλλο2!$AJ$99:$AJ$107,9-$F13,1),INDEX(Φύλλο2!$AK$99:$AN$107,9-$F13,I13))),IF($D13=4,IF($AS13=I3,0,IF(I13="",INDEX(Φύλλο2!$AR$99:$AR$107,9-$F13,1),INDEX(Φύλλο2!$AS$99:$AV$107,9-$F13,I13))),IF($D13=5,IF($AS13=I3,0,IF(I13="",INDEX(Φύλλο2!$AZ$99:$AZ$107,9-$F13,1),INDEX(Φύλλο2!$BA$99:$BD$107,9-$F13,I13))),IF($D13=0,IF($AS13=I3,0,IF(AND($AS$13=$AS$14,$AS$14=$AS$15),IF(I13="",INDEX(Φύλλο2!$L$99:$L$107,9-$F13,1),INDEX(Φύλλο2!$M$99:$P$107,9-$F13,I13)),IF(I13="",INDEX(Φύλλο2!$D$99:$D$107,9-$F13,1),INDEX(Φύλλο2!$E$99:$H$107,9-$F13,I13)))))))))),"")</f>
        <v/>
      </c>
      <c r="K13" s="85"/>
      <c r="L13" s="86" t="str">
        <f>IF($F13&lt;&gt;9,IF($D13=1,IF($AS13=K3,0,IF(K13="",INDEX(Φύλλο2!$T$99:$T$107,9-$F13,1),INDEX(Φύλλο2!$U$99:$X$107,9-$F13,K13))),IF($D13=2,IF($AS13=K3,0,IF(K13="",INDEX(Φύλλο2!$AB$99:$AB$107,9-$F13,1),INDEX(Φύλλο2!$AC$99:$AF$107,9-$F13,K13))),IF($D13=3,IF($AS13=K3,0,IF(K13="",INDEX(Φύλλο2!$AJ$99:$AJ$107,9-$F13,1),INDEX(Φύλλο2!$AK$99:$AN$107,9-$F13,K13))),IF($D13=4,IF($AS13=K3,0,IF(K13="",INDEX(Φύλλο2!$AR$99:$AR$107,9-$F13,1),INDEX(Φύλλο2!$AS$99:$AV$107,9-$F13,K13))),IF($D13=5,IF($AS13=K3,0,IF(K13="",INDEX(Φύλλο2!$AZ$99:$AZ$107,9-$F13,1),INDEX(Φύλλο2!$BA$99:$BD$107,9-$F13,K13))),IF($D13=0,IF($AS13=K3,0,IF(AND($AS$13=$AS$14,$AS$14=$AS$15),IF(K13="",INDEX(Φύλλο2!$L$99:$L$107,9-$F13,1),INDEX(Φύλλο2!$M$99:$P$107,9-$F13,K13)),IF(K13="",INDEX(Φύλλο2!$D$99:$D$107,9-$F13,1),INDEX(Φύλλο2!$E$99:$H$107,9-$F13,K13)))))))))),"")</f>
        <v/>
      </c>
      <c r="M13" s="85"/>
      <c r="N13" s="86" t="str">
        <f>IF($F13&lt;&gt;9,IF($D13=1,IF($AS13=M3,0,IF(M13="",INDEX(Φύλλο2!$T$99:$T$107,9-$F13,1),INDEX(Φύλλο2!$U$99:$X$107,9-$F13,M13))),IF($D13=2,IF($AS13=M3,0,IF(M13="",INDEX(Φύλλο2!$AB$99:$AB$107,9-$F13,1),INDEX(Φύλλο2!$AC$99:$AF$107,9-$F13,M13))),IF($D13=3,IF($AS13=M3,0,IF(M13="",INDEX(Φύλλο2!$AJ$99:$AJ$107,9-$F13,1),INDEX(Φύλλο2!$AK$99:$AN$107,9-$F13,M13))),IF($D13=4,IF($AS13=M3,0,IF(M13="",INDEX(Φύλλο2!$AR$99:$AR$107,9-$F13,1),INDEX(Φύλλο2!$AS$99:$AV$107,9-$F13,M13))),IF($D13=5,IF($AS13=M3,0,IF(M13="",INDEX(Φύλλο2!$AZ$99:$AZ$107,9-$F13,1),INDEX(Φύλλο2!$BA$99:$BD$107,9-$F13,M13))),IF($D13=0,IF($AS13=M3,0,IF(AND($AS$13=$AS$14,$AS$14=$AS$15),IF(M13="",INDEX(Φύλλο2!$L$99:$L$107,9-$F13,1),INDEX(Φύλλο2!$M$99:$P$107,9-$F13,M13)),IF(M13="",INDEX(Φύλλο2!$D$99:$D$107,9-$F13,1),INDEX(Φύλλο2!$E$99:$H$107,9-$F13,M13)))))))))),"")</f>
        <v/>
      </c>
      <c r="O13" s="85"/>
      <c r="P13" s="86" t="str">
        <f>IF($F13&lt;&gt;9,IF($D13=1,IF($AS13=O3,0,IF(O13="",INDEX(Φύλλο2!$T$99:$T$107,9-$F13,1),INDEX(Φύλλο2!$U$99:$X$107,9-$F13,O13))),IF($D13=2,IF($AS13=O3,0,IF(O13="",INDEX(Φύλλο2!$AB$99:$AB$107,9-$F13,1),INDEX(Φύλλο2!$AC$99:$AF$107,9-$F13,O13))),IF($D13=3,IF($AS13=O3,0,IF(O13="",INDEX(Φύλλο2!$AJ$99:$AJ$107,9-$F13,1),INDEX(Φύλλο2!$AK$99:$AN$107,9-$F13,O13))),IF($D13=4,IF($AS13=O3,0,IF(O13="",INDEX(Φύλλο2!$AR$99:$AR$107,9-$F13,1),INDEX(Φύλλο2!$AS$99:$AV$107,9-$F13,O13))),IF($D13=5,IF($AS13=O3,0,IF(O13="",INDEX(Φύλλο2!$AZ$99:$AZ$107,9-$F13,1),INDEX(Φύλλο2!$BA$99:$BD$107,9-$F13,O13))),IF($D13=0,IF($AS13=O3,0,IF(AND($AS$13=$AS$14,$AS$14=$AS$15),IF(O13="",INDEX(Φύλλο2!$L$99:$L$107,9-$F13,1),INDEX(Φύλλο2!$M$99:$P$107,9-$F13,O13)),IF(O13="",INDEX(Φύλλο2!$D$99:$D$107,9-$F13,1),INDEX(Φύλλο2!$E$99:$H$107,9-$F13,O13)))))))))),"")</f>
        <v/>
      </c>
      <c r="Q13" s="80"/>
      <c r="R13" s="76" t="str">
        <f>IF($F13&lt;&gt;9,IF($D13=1,IF($AS13=Q3,0,IF(Q13="",INDEX(Φύλλο2!$T$99:$T$107,9-$F13,1),INDEX(Φύλλο2!$U$99:$X$107,9-$F13,Q13))),IF($D13=2,IF($AS13=Q3,0,IF(Q13="",INDEX(Φύλλο2!$AB$99:$AB$107,9-$F13,1),INDEX(Φύλλο2!$AC$99:$AF$107,9-$F13,Q13))),IF($D13=3,IF($AS13=Q3,0,IF(Q13="",INDEX(Φύλλο2!$AJ$99:$AJ$107,9-$F13,1),INDEX(Φύλλο2!$AK$99:$AN$107,9-$F13,Q13))),IF($D13=4,IF($AS13=Q3,0,IF(Q13="",INDEX(Φύλλο2!$AR$99:$AR$107,9-$F13,1),INDEX(Φύλλο2!$AS$99:$AV$107,9-$F13,Q13))),IF($D13=5,IF($AS13=Q3,0,IF(Q13="",INDEX(Φύλλο2!$AZ$99:$AZ$107,9-$F13,1),INDEX(Φύλλο2!$BA$99:$BD$107,9-$F13,Q13))),IF($D13=0,IF($AS13=Q3,0,IF(AND($AS$13=$AS$14,$AS$14=$AS$15),IF(Q13="",INDEX(Φύλλο2!$L$99:$L$107,9-$F13,1),INDEX(Φύλλο2!$M$99:$P$107,9-$F13,Q13)),IF(Q13="",INDEX(Φύλλο2!$D$99:$D$107,9-$F13,1),INDEX(Φύλλο2!$E$99:$H$107,9-$F13,Q13)))))))))),"")</f>
        <v/>
      </c>
      <c r="S13" s="63"/>
      <c r="T13" s="64"/>
      <c r="U13" s="64"/>
      <c r="V13" s="64"/>
      <c r="W13" s="64"/>
      <c r="X13" s="65"/>
      <c r="Y13" s="60">
        <f>IF(G13&lt;&gt;"",RANK(G13,Rank9,0),6)</f>
        <v>6</v>
      </c>
      <c r="Z13" s="60">
        <f>IF(I13&lt;&gt;"",RANK(I13,Rank9,0),6)</f>
        <v>6</v>
      </c>
      <c r="AA13" s="60">
        <f>IF(K13&lt;&gt;"",RANK(K13,Rank9,0),6)</f>
        <v>6</v>
      </c>
      <c r="AB13" s="60">
        <f>IF(M13&lt;&gt;"",RANK(M13,Rank9,0),6)</f>
        <v>6</v>
      </c>
      <c r="AC13" s="60">
        <f>IF(O13&lt;&gt;"",RANK(O13,Rank9,0),6)</f>
        <v>6</v>
      </c>
      <c r="AD13" s="60">
        <f>IF(Q13&lt;&gt;"",RANK(Q13,Rank9,0),6)</f>
        <v>6</v>
      </c>
      <c r="AE13" s="60">
        <f t="shared" si="8"/>
        <v>0</v>
      </c>
      <c r="AF13" s="1">
        <f t="shared" ca="1" si="9"/>
        <v>44454.006083796296</v>
      </c>
      <c r="AG13" s="2">
        <f t="shared" ca="1" si="10"/>
        <v>6.0837962955702096E-3</v>
      </c>
      <c r="AH13">
        <f ca="1">ROUNDDOWN(AG13,8)</f>
        <v>6.0837900000000004E-3</v>
      </c>
      <c r="AI13">
        <f ca="1">AH13/0.00000004</f>
        <v>152094.75</v>
      </c>
      <c r="AJ13" s="2">
        <f t="shared" ca="1" si="11"/>
        <v>0.75</v>
      </c>
      <c r="AK13" s="7">
        <f t="shared" ca="1" si="2"/>
        <v>44452.306083796298</v>
      </c>
      <c r="AL13" s="5">
        <f t="shared" ca="1" si="3"/>
        <v>6.0837962955702096E-3</v>
      </c>
      <c r="AM13" s="6">
        <f t="shared" ca="1" si="4"/>
        <v>6.0800000000000003E-3</v>
      </c>
      <c r="AN13">
        <f t="shared" ca="1" si="5"/>
        <v>304</v>
      </c>
      <c r="AO13" s="2">
        <f t="shared" ca="1" si="6"/>
        <v>0</v>
      </c>
      <c r="AP13" s="36">
        <v>39</v>
      </c>
      <c r="AQ13" s="36" t="str">
        <f t="shared" si="1"/>
        <v/>
      </c>
      <c r="AR13" s="39">
        <f>IF(COUNT(G13,I13,K13,M13,O13,Q13)=0,0,IF(COUNT(G13,I13,K13,M13,O13,Q13)=6,IF(F13=0,51,IF(F13=1,39,IF(F13=2,27,24))),IF(COUNT(G13,I13,K13,M13,O13,Q13)=5,IF(F13=0,39,IF(F13=1,27,IF(F13=2,24,IF(F13=3,20,16)))),IF(COUNT(G13,I13,K13,M13,O13,Q13)=4,IF(F13=0,27,IF(F13=1,24,IF(F13=2,20,IF(F13=3,16,IF(F13=4,12,8))))),IF(COUNT(G13,I13,K13,M13,O13,Q13)=3,IF(F13=0,20,IF(F13=1,16,IF(F13=2,16,IF(F13=3,12,IF(F13=4,8,IF(F13=5,4,0)))))),IF(COUNT(G13,I13,K13,M13,O13,Q13)=2,IF(F13=4,4,IF(F13=5,0,IF(F13=6,-4,IF(F13=7,-8,8)))),IF(COUNT(G13,I13,K13,M13,O13,Q13)=1,IF(F13=5,-4,IF(F13=6,-8,IF(F13=7,-12,IF(F13=8,-16,0)))))))))))</f>
        <v>0</v>
      </c>
      <c r="AS13" s="67" t="str">
        <f>IF(F13&lt;&gt;9,INDEX(S3:X13,1,MATCH(AE13,S13:X13,0)),"-")</f>
        <v>-</v>
      </c>
      <c r="AT13" s="95">
        <f>IF(AQ13="",0,IF(AND(AS13=AS14,AS14=AS15),AQ13+28,AQ13))+AR13</f>
        <v>0</v>
      </c>
    </row>
    <row r="14" spans="1:83" ht="18" x14ac:dyDescent="0.3">
      <c r="A14" s="13">
        <v>10</v>
      </c>
      <c r="B14" s="36">
        <v>180</v>
      </c>
      <c r="C14" s="36">
        <f t="shared" si="0"/>
        <v>0</v>
      </c>
      <c r="D14" s="36"/>
      <c r="E14" s="4">
        <v>100</v>
      </c>
      <c r="F14" s="91">
        <f t="shared" si="7"/>
        <v>9</v>
      </c>
      <c r="G14" s="85"/>
      <c r="H14" s="86" t="str">
        <f>IF($F14&lt;&gt;9,IF($D14=1,IF($AS14=G3,0,IF(G14="",INDEX(Φύλλο2!$T$99:$T$107,9-$F14,1),INDEX(Φύλλο2!$U$99:$X$107,9-$F14,G14))),IF($D14=2,IF($AS14=G3,0,IF(G14="",INDEX(Φύλλο2!$AB$99:$AB$107,9-$F14,1),INDEX(Φύλλο2!$AC$99:$AF$107,9-$F14,G14))),IF($D14=3,IF($AS14=G3,0,IF(G14="",INDEX(Φύλλο2!$AJ$99:$AJ$107,9-$F14,1),INDEX(Φύλλο2!$AK$99:$AN$107,9-$F14,G14))),IF($D14=4,IF($AS14=G3,0,IF(G14="",INDEX(Φύλλο2!$AR$99:$AR$107,9-$F14,1),INDEX(Φύλλο2!$AS$99:$AV$107,9-$F14,G14))),IF($D14=5,IF($AS14=G3,0,IF(G14="",INDEX(Φύλλο2!$AZ$99:$AZ$107,9-$F14,1),INDEX(Φύλλο2!$BA$99:$BD$107,9-$F14,G14))),IF($D14=0,IF($AS14=G3,0,IF(AND($AS$13=$AS$14,$AS$14=$AS$15),IF(G14="",INDEX(Φύλλο2!$L$99:$L$107,9-$F14,1),INDEX(Φύλλο2!$M$99:$P$107,9-$F14,G14)),IF(G14="",INDEX(Φύλλο2!$D$99:$D$107,9-$F14,1),INDEX(Φύλλο2!$E$99:$H$107,9-$F14,G14)))))))))),"")</f>
        <v/>
      </c>
      <c r="I14" s="85"/>
      <c r="J14" s="86" t="str">
        <f>IF($F14&lt;&gt;9,IF($D14=1,IF($AS14=I3,0,IF(I14="",INDEX(Φύλλο2!$T$99:$T$107,9-$F14,1),INDEX(Φύλλο2!$U$99:$X$107,9-$F14,I14))),IF($D14=2,IF($AS14=I3,0,IF(I14="",INDEX(Φύλλο2!$AB$99:$AB$107,9-$F14,1),INDEX(Φύλλο2!$AC$99:$AF$107,9-$F14,I14))),IF($D14=3,IF($AS14=I3,0,IF(I14="",INDEX(Φύλλο2!$AJ$99:$AJ$107,9-$F14,1),INDEX(Φύλλο2!$AK$99:$AN$107,9-$F14,I14))),IF($D14=4,IF($AS14=I3,0,IF(I14="",INDEX(Φύλλο2!$AR$99:$AR$107,9-$F14,1),INDEX(Φύλλο2!$AS$99:$AV$107,9-$F14,I14))),IF($D14=5,IF($AS14=I3,0,IF(I14="",INDEX(Φύλλο2!$AZ$99:$AZ$107,9-$F14,1),INDEX(Φύλλο2!$BA$99:$BD$107,9-$F14,I14))),IF($D14=0,IF($AS14=I3,0,IF(AND($AS$13=$AS$14,$AS$14=$AS$15),IF(I14="",INDEX(Φύλλο2!$L$99:$L$107,9-$F14,1),INDEX(Φύλλο2!$M$99:$P$107,9-$F14,I14)),IF(I14="",INDEX(Φύλλο2!$D$99:$D$107,9-$F14,1),INDEX(Φύλλο2!$E$99:$H$107,9-$F14,I14)))))))))),"")</f>
        <v/>
      </c>
      <c r="K14" s="85"/>
      <c r="L14" s="86" t="str">
        <f>IF($F14&lt;&gt;9,IF($D14=1,IF($AS14=K3,0,IF(K14="",INDEX(Φύλλο2!$T$99:$T$107,9-$F14,1),INDEX(Φύλλο2!$U$99:$X$107,9-$F14,K14))),IF($D14=2,IF($AS14=K3,0,IF(K14="",INDEX(Φύλλο2!$AB$99:$AB$107,9-$F14,1),INDEX(Φύλλο2!$AC$99:$AF$107,9-$F14,K14))),IF($D14=3,IF($AS14=K3,0,IF(K14="",INDEX(Φύλλο2!$AJ$99:$AJ$107,9-$F14,1),INDEX(Φύλλο2!$AK$99:$AN$107,9-$F14,K14))),IF($D14=4,IF($AS14=K3,0,IF(K14="",INDEX(Φύλλο2!$AR$99:$AR$107,9-$F14,1),INDEX(Φύλλο2!$AS$99:$AV$107,9-$F14,K14))),IF($D14=5,IF($AS14=K3,0,IF(K14="",INDEX(Φύλλο2!$AZ$99:$AZ$107,9-$F14,1),INDEX(Φύλλο2!$BA$99:$BD$107,9-$F14,K14))),IF($D14=0,IF($AS14=K3,0,IF(AND($AS$13=$AS$14,$AS$14=$AS$15),IF(K14="",INDEX(Φύλλο2!$L$99:$L$107,9-$F14,1),INDEX(Φύλλο2!$M$99:$P$107,9-$F14,K14)),IF(K14="",INDEX(Φύλλο2!$D$99:$D$107,9-$F14,1),INDEX(Φύλλο2!$E$99:$H$107,9-$F14,K14)))))))))),"")</f>
        <v/>
      </c>
      <c r="M14" s="85"/>
      <c r="N14" s="86" t="str">
        <f>IF($F14&lt;&gt;9,IF($D14=1,IF($AS14=M3,0,IF(M14="",INDEX(Φύλλο2!$T$99:$T$107,9-$F14,1),INDEX(Φύλλο2!$U$99:$X$107,9-$F14,M14))),IF($D14=2,IF($AS14=M3,0,IF(M14="",INDEX(Φύλλο2!$AB$99:$AB$107,9-$F14,1),INDEX(Φύλλο2!$AC$99:$AF$107,9-$F14,M14))),IF($D14=3,IF($AS14=M3,0,IF(M14="",INDEX(Φύλλο2!$AJ$99:$AJ$107,9-$F14,1),INDEX(Φύλλο2!$AK$99:$AN$107,9-$F14,M14))),IF($D14=4,IF($AS14=M3,0,IF(M14="",INDEX(Φύλλο2!$AR$99:$AR$107,9-$F14,1),INDEX(Φύλλο2!$AS$99:$AV$107,9-$F14,M14))),IF($D14=5,IF($AS14=M3,0,IF(M14="",INDEX(Φύλλο2!$AZ$99:$AZ$107,9-$F14,1),INDEX(Φύλλο2!$BA$99:$BD$107,9-$F14,M14))),IF($D14=0,IF($AS14=M3,0,IF(AND($AS$13=$AS$14,$AS$14=$AS$15),IF(M14="",INDEX(Φύλλο2!$L$99:$L$107,9-$F14,1),INDEX(Φύλλο2!$M$99:$P$107,9-$F14,M14)),IF(M14="",INDEX(Φύλλο2!$D$99:$D$107,9-$F14,1),INDEX(Φύλλο2!$E$99:$H$107,9-$F14,M14)))))))))),"")</f>
        <v/>
      </c>
      <c r="O14" s="85"/>
      <c r="P14" s="86" t="str">
        <f>IF($F14&lt;&gt;9,IF($D14=1,IF($AS14=O3,0,IF(O14="",INDEX(Φύλλο2!$T$99:$T$107,9-$F14,1),INDEX(Φύλλο2!$U$99:$X$107,9-$F14,O14))),IF($D14=2,IF($AS14=O3,0,IF(O14="",INDEX(Φύλλο2!$AB$99:$AB$107,9-$F14,1),INDEX(Φύλλο2!$AC$99:$AF$107,9-$F14,O14))),IF($D14=3,IF($AS14=O3,0,IF(O14="",INDEX(Φύλλο2!$AJ$99:$AJ$107,9-$F14,1),INDEX(Φύλλο2!$AK$99:$AN$107,9-$F14,O14))),IF($D14=4,IF($AS14=O3,0,IF(O14="",INDEX(Φύλλο2!$AR$99:$AR$107,9-$F14,1),INDEX(Φύλλο2!$AS$99:$AV$107,9-$F14,O14))),IF($D14=5,IF($AS14=O3,0,IF(O14="",INDEX(Φύλλο2!$AZ$99:$AZ$107,9-$F14,1),INDEX(Φύλλο2!$BA$99:$BD$107,9-$F14,O14))),IF($D14=0,IF($AS14=O3,0,IF(AND($AS$13=$AS$14,$AS$14=$AS$15),IF(O14="",INDEX(Φύλλο2!$L$99:$L$107,9-$F14,1),INDEX(Φύλλο2!$M$99:$P$107,9-$F14,O14)),IF(O14="",INDEX(Φύλλο2!$D$99:$D$107,9-$F14,1),INDEX(Φύλλο2!$E$99:$H$107,9-$F14,O14)))))))))),"")</f>
        <v/>
      </c>
      <c r="Q14" s="80"/>
      <c r="R14" s="76" t="str">
        <f>IF($F14&lt;&gt;9,IF($D14=1,IF($AS14=Q3,0,IF(Q14="",INDEX(Φύλλο2!$T$99:$T$107,9-$F14,1),INDEX(Φύλλο2!$U$99:$X$107,9-$F14,Q14))),IF($D14=2,IF($AS14=Q3,0,IF(Q14="",INDEX(Φύλλο2!$AB$99:$AB$107,9-$F14,1),INDEX(Φύλλο2!$AC$99:$AF$107,9-$F14,Q14))),IF($D14=3,IF($AS14=Q3,0,IF(Q14="",INDEX(Φύλλο2!$AJ$99:$AJ$107,9-$F14,1),INDEX(Φύλλο2!$AK$99:$AN$107,9-$F14,Q14))),IF($D14=4,IF($AS14=Q3,0,IF(Q14="",INDEX(Φύλλο2!$AR$99:$AR$107,9-$F14,1),INDEX(Φύλλο2!$AS$99:$AV$107,9-$F14,Q14))),IF($D14=5,IF($AS14=Q3,0,IF(Q14="",INDEX(Φύλλο2!$AZ$99:$AZ$107,9-$F14,1),INDEX(Φύλλο2!$BA$99:$BD$107,9-$F14,Q14))),IF($D14=0,IF($AS14=Q3,0,IF(AND($AS$13=$AS$14,$AS$14=$AS$15),IF(Q14="",INDEX(Φύλλο2!$L$99:$L$107,9-$F14,1),INDEX(Φύλλο2!$M$99:$P$107,9-$F14,Q14)),IF(Q14="",INDEX(Φύλλο2!$D$99:$D$107,9-$F14,1),INDEX(Φύλλο2!$E$99:$H$107,9-$F14,Q14)))))))))),"")</f>
        <v/>
      </c>
      <c r="S14" s="63"/>
      <c r="T14" s="64"/>
      <c r="U14" s="64"/>
      <c r="V14" s="64"/>
      <c r="W14" s="39"/>
      <c r="X14" s="65"/>
      <c r="Y14" s="60">
        <f>IF(G14&lt;&gt;"",RANK(G14,Rank10,0),6)</f>
        <v>6</v>
      </c>
      <c r="Z14" s="60">
        <f>IF(I14&lt;&gt;"",RANK(I14,Rank10,0),6)</f>
        <v>6</v>
      </c>
      <c r="AA14" s="60">
        <f>IF(K14&lt;&gt;"",RANK(K14,Rank10,0),6)</f>
        <v>6</v>
      </c>
      <c r="AB14" s="60">
        <f>IF(M14&lt;&gt;"",RANK(M14,Rank10,0),6)</f>
        <v>6</v>
      </c>
      <c r="AC14" s="60">
        <f>IF(O14&lt;&gt;"",RANK(O14,Rank10,0),6)</f>
        <v>6</v>
      </c>
      <c r="AD14" s="60">
        <f>IF(Q14&lt;&gt;"",RANK(Q14,Rank10,0),6)</f>
        <v>6</v>
      </c>
      <c r="AE14" s="60">
        <f t="shared" si="8"/>
        <v>0</v>
      </c>
      <c r="AF14" s="1">
        <f t="shared" ca="1" si="9"/>
        <v>44454.006083796296</v>
      </c>
      <c r="AG14" s="2">
        <f t="shared" ca="1" si="10"/>
        <v>6.0837962955702096E-3</v>
      </c>
      <c r="AH14">
        <f ca="1">ROUNDDOWN(AG14,6)</f>
        <v>6.0829999999999999E-3</v>
      </c>
      <c r="AI14">
        <f ca="1">AH14/0.000004</f>
        <v>1520.75</v>
      </c>
      <c r="AJ14" s="2">
        <f t="shared" ca="1" si="11"/>
        <v>0.75</v>
      </c>
      <c r="AK14" s="7">
        <f t="shared" ca="1" si="2"/>
        <v>44452.306083796298</v>
      </c>
      <c r="AL14" s="5">
        <f t="shared" ca="1" si="3"/>
        <v>6.0837962955702096E-3</v>
      </c>
      <c r="AM14" s="6">
        <f t="shared" ca="1" si="4"/>
        <v>6.0800000000000003E-3</v>
      </c>
      <c r="AN14">
        <f t="shared" ca="1" si="5"/>
        <v>304</v>
      </c>
      <c r="AO14" s="2">
        <f t="shared" ca="1" si="6"/>
        <v>0</v>
      </c>
      <c r="AP14" s="36">
        <v>39</v>
      </c>
      <c r="AQ14" s="36" t="str">
        <f t="shared" si="1"/>
        <v/>
      </c>
      <c r="AR14" s="39">
        <f>IF(COUNT(G14,I14,K14,M14,O14,Q14)=0,0,IF(COUNT(G14,I14,K14,M14,O14,Q14)=6,IF(F14=0,51,IF(F14=1,39,IF(F14=2,27,24))),IF(COUNT(G14,I14,K14,M14,O14,Q14)=5,IF(F14=0,39,IF(F14=1,27,IF(F14=2,24,IF(F14=3,20,16)))),IF(COUNT(G14,I14,K14,M14,O14,Q14)=4,IF(F14=0,27,IF(F14=1,24,IF(F14=2,20,IF(F14=3,16,IF(F14=4,12,8))))),IF(COUNT(G14,I14,K14,M14,O14,Q14)=3,IF(F14=0,20,IF(F14=1,16,IF(F14=2,16,IF(F14=3,12,IF(F14=4,8,IF(F14=5,4,0)))))),IF(COUNT(G14,I14,K14,M14,O14,Q14)=2,IF(F14=4,4,IF(F14=5,0,IF(F14=6,-4,IF(F14=7,-8,8)))),IF(COUNT(G14,I14,K14,M14,O14,Q14)=1,IF(F14=5,-4,IF(F14=6,-8,IF(F14=7,-12,IF(F14=8,-16,0)))))))))))</f>
        <v>0</v>
      </c>
      <c r="AS14" s="57" t="str">
        <f>IF(F14&lt;&gt;9,INDEX(S3:X14,1,MATCH(AE14,S14:X14,0)),"-")</f>
        <v>-</v>
      </c>
      <c r="AT14" s="97">
        <f>IF(AQ14="",0,IF(AND(AS13=AS14,AS14=AS15),AQ14+28,AQ14))+AR14</f>
        <v>0</v>
      </c>
      <c r="AZ14" s="8"/>
      <c r="BR14" s="8" t="s">
        <v>6</v>
      </c>
      <c r="BT14" t="s">
        <v>7</v>
      </c>
      <c r="BU14" t="s">
        <v>8</v>
      </c>
      <c r="BV14" t="s">
        <v>9</v>
      </c>
      <c r="BW14" t="s">
        <v>10</v>
      </c>
      <c r="BX14" t="s">
        <v>11</v>
      </c>
      <c r="BY14" t="s">
        <v>12</v>
      </c>
      <c r="BZ14" t="s">
        <v>13</v>
      </c>
      <c r="CA14" t="s">
        <v>14</v>
      </c>
      <c r="CB14" t="s">
        <v>15</v>
      </c>
      <c r="CC14" t="s">
        <v>37</v>
      </c>
      <c r="CD14" t="s">
        <v>38</v>
      </c>
      <c r="CE14" t="s">
        <v>39</v>
      </c>
    </row>
    <row r="15" spans="1:83" ht="19.5" thickBot="1" x14ac:dyDescent="0.3">
      <c r="A15" s="23">
        <v>11</v>
      </c>
      <c r="B15" s="35">
        <v>200</v>
      </c>
      <c r="C15" s="35">
        <f t="shared" si="0"/>
        <v>0</v>
      </c>
      <c r="D15" s="35"/>
      <c r="E15" s="20">
        <v>100</v>
      </c>
      <c r="F15" s="90">
        <f t="shared" si="7"/>
        <v>9</v>
      </c>
      <c r="G15" s="83"/>
      <c r="H15" s="84" t="str">
        <f>IF($F15&lt;&gt;9,IF($D15=1,IF($AS15=G3,0,IF(G15="",INDEX(Φύλλο2!$T$123:$T$131,9-$F15,1),INDEX(Φύλλο2!$U$123:$X$131,9-$F15,G15))),IF($D15=2,IF($AS15=G3,0,IF(G15="",INDEX(Φύλλο2!$AB$123:$AB$131,9-$F15,1),INDEX(Φύλλο2!$AC$123:$AF$131,9-$F15,G15))),IF($D15=3,IF($AS15=G3,0,IF(G15="",INDEX(Φύλλο2!$AJ$123:$AJ$131,9-$F15,1),INDEX(Φύλλο2!$AK$123:$AN$131,9-$F15,G15))),IF($D15=4,IF($AS15=G3,0,IF(G15="",INDEX(Φύλλο2!$AR$123:$AR$131,9-$F15,1),INDEX(Φύλλο2!$AS$123:$AV$131,9-$F15,G15))),IF($D15=5,IF($AS15=G3,0,IF(G15="",INDEX(Φύλλο2!$AZ$123:$AZ$131,9-$F15,1),INDEX(Φύλλο2!$BA$123:$BD$131,9-$F15,G15))),IF($D15=0,IF($AS15=G3,0,IF(AND($AS$13=$AS$14,$AS$14=$AS$15),IF(G15="",INDEX(Φύλλο2!$L$123:$L$131,9-$F15,1),INDEX(Φύλλο2!$M$123:$P$131,9-$F15,G15)),IF(G15="",INDEX(Φύλλο2!$D$123:$D$131,9-$F15,1),INDEX(Φύλλο2!$E$123:$H$131,9-$F15,G15)))))))))),"")</f>
        <v/>
      </c>
      <c r="I15" s="83"/>
      <c r="J15" s="84" t="str">
        <f>IF($F15&lt;&gt;9,IF($D15=1,IF($AS15=I3,0,IF(I15="",INDEX(Φύλλο2!$T$123:$T$131,9-$F15,1),INDEX(Φύλλο2!$U$123:$X$131,9-$F15,I15))),IF($D15=2,IF($AS15=I3,0,IF(I15="",INDEX(Φύλλο2!$AB$123:$AB$131,9-$F15,1),INDEX(Φύλλο2!$AC$123:$AF$131,9-$F15,I15))),IF($D15=3,IF($AS15=I3,0,IF(I15="",INDEX(Φύλλο2!$AJ$123:$AJ$131,9-$F15,1),INDEX(Φύλλο2!$AK$123:$AN$131,9-$F15,I15))),IF($D15=4,IF($AS15=I3,0,IF(I15="",INDEX(Φύλλο2!$AR$123:$AR$131,9-$F15,1),INDEX(Φύλλο2!$AS$123:$AV$131,9-$F15,I15))),IF($D15=5,IF($AS15=I3,0,IF(I15="",INDEX(Φύλλο2!$AZ$123:$AZ$131,9-$F15,1),INDEX(Φύλλο2!$BA$123:$BD$131,9-$F15,I15))),IF($D15=0,IF($AS15=I3,0,IF(AND($AS$13=$AS$14,$AS$14=$AS$15),IF(I15="",INDEX(Φύλλο2!$L$123:$L$131,9-$F15,1),INDEX(Φύλλο2!$M$123:$P$131,9-$F15,I15)),IF(I15="",INDEX(Φύλλο2!$D$123:$D$131,9-$F15,1),INDEX(Φύλλο2!$E$123:$H$131,9-$F15,I15)))))))))),"")</f>
        <v/>
      </c>
      <c r="K15" s="83"/>
      <c r="L15" s="84" t="str">
        <f>IF($F15&lt;&gt;9,IF($D15=1,IF($AS15=K3,0,IF(K15="",INDEX(Φύλλο2!$T$123:$T$131,9-$F15,1),INDEX(Φύλλο2!$U$123:$X$131,9-$F15,K15))),IF($D15=2,IF($AS15=K3,0,IF(K15="",INDEX(Φύλλο2!$AB$123:$AB$131,9-$F15,1),INDEX(Φύλλο2!$AC$123:$AF$131,9-$F15,K15))),IF($D15=3,IF($AS15=K3,0,IF(K15="",INDEX(Φύλλο2!$AJ$123:$AJ$131,9-$F15,1),INDEX(Φύλλο2!$AK$123:$AN$131,9-$F15,K15))),IF($D15=4,IF($AS15=K3,0,IF(K15="",INDEX(Φύλλο2!$AR$123:$AR$131,9-$F15,1),INDEX(Φύλλο2!$AS$123:$AV$131,9-$F15,K15))),IF($D15=5,IF($AS15=K3,0,IF(K15="",INDEX(Φύλλο2!$AZ$123:$AZ$131,9-$F15,1),INDEX(Φύλλο2!$BA$123:$BD$131,9-$F15,K15))),IF($D15=0,IF($AS15=K3,0,IF(AND($AS$13=$AS$14,$AS$14=$AS$15),IF(K15="",INDEX(Φύλλο2!$L$123:$L$131,9-$F15,1),INDEX(Φύλλο2!$M$123:$P$131,9-$F15,K15)),IF(K15="",INDEX(Φύλλο2!$D$123:$D$131,9-$F15,1),INDEX(Φύλλο2!$E$123:$H$131,9-$F15,K15)))))))))),"")</f>
        <v/>
      </c>
      <c r="M15" s="83"/>
      <c r="N15" s="84" t="str">
        <f>IF($F15&lt;&gt;9,IF($D15=1,IF($AS15=M3,0,IF(M15="",INDEX(Φύλλο2!$T$123:$T$131,9-$F15,1),INDEX(Φύλλο2!$U$123:$X$131,9-$F15,M15))),IF($D15=2,IF($AS15=M3,0,IF(M15="",INDEX(Φύλλο2!$AB$123:$AB$131,9-$F15,1),INDEX(Φύλλο2!$AC$123:$AF$131,9-$F15,M15))),IF($D15=3,IF($AS15=M3,0,IF(M15="",INDEX(Φύλλο2!$AJ$123:$AJ$131,9-$F15,1),INDEX(Φύλλο2!$AK$123:$AN$131,9-$F15,M15))),IF($D15=4,IF($AS15=M3,0,IF(M15="",INDEX(Φύλλο2!$AR$123:$AR$131,9-$F15,1),INDEX(Φύλλο2!$AS$123:$AV$131,9-$F15,M15))),IF($D15=5,IF($AS15=M3,0,IF(M15="",INDEX(Φύλλο2!$AZ$123:$AZ$131,9-$F15,1),INDEX(Φύλλο2!$BA$123:$BD$131,9-$F15,M15))),IF($D15=0,IF($AS15=M3,0,IF(AND($AS$13=$AS$14,$AS$14=$AS$15),IF(M15="",INDEX(Φύλλο2!$L$123:$L$131,9-$F15,1),INDEX(Φύλλο2!$M$123:$P$131,9-$F15,M15)),IF(M15="",INDEX(Φύλλο2!$D$123:$D$131,9-$F15,1),INDEX(Φύλλο2!$E$123:$H$131,9-$F15,M15)))))))))),"")</f>
        <v/>
      </c>
      <c r="O15" s="83"/>
      <c r="P15" s="84" t="str">
        <f>IF($F15&lt;&gt;9,IF($D15=1,IF($AS15=O3,0,IF(O15="",INDEX(Φύλλο2!$T$123:$T$131,9-$F15,1),INDEX(Φύλλο2!$U$123:$X$131,9-$F15,O15))),IF($D15=2,IF($AS15=O3,0,IF(O15="",INDEX(Φύλλο2!$AB$123:$AB$131,9-$F15,1),INDEX(Φύλλο2!$AC$123:$AF$131,9-$F15,O15))),IF($D15=3,IF($AS15=O3,0,IF(O15="",INDEX(Φύλλο2!$AJ$123:$AJ$131,9-$F15,1),INDEX(Φύλλο2!$AK$123:$AN$131,9-$F15,O15))),IF($D15=4,IF($AS15=O3,0,IF(O15="",INDEX(Φύλλο2!$AR$123:$AR$131,9-$F15,1),INDEX(Φύλλο2!$AS$123:$AV$131,9-$F15,O15))),IF($D15=5,IF($AS15=O3,0,IF(O15="",INDEX(Φύλλο2!$AZ$123:$AZ$131,9-$F15,1),INDEX(Φύλλο2!$BA$123:$BD$131,9-$F15,O15))),IF($D15=0,IF($AS15=O3,0,IF(AND($AS$13=$AS$14,$AS$14=$AS$15),IF(O15="",INDEX(Φύλλο2!$L$123:$L$131,9-$F15,1),INDEX(Φύλλο2!$M$123:$P$131,9-$F15,O15)),IF(O15="",INDEX(Φύλλο2!$D$123:$D$131,9-$F15,1),INDEX(Φύλλο2!$E$123:$H$131,9-$F15,O15)))))))))),"")</f>
        <v/>
      </c>
      <c r="Q15" s="79"/>
      <c r="R15" s="75" t="str">
        <f>IF($F15&lt;&gt;9,IF($D15=1,IF($AS15=Q3,0,IF(Q15="",INDEX(Φύλλο2!$T$123:$T$131,9-$F15,1),INDEX(Φύλλο2!$U$123:$X$131,9-$F15,Q15))),IF($D15=2,IF($AS15=Q3,0,IF(Q15="",INDEX(Φύλλο2!$AB$123:$AB$131,9-$F15,1),INDEX(Φύλλο2!$AC$123:$AF$131,9-$F15,Q15))),IF($D15=3,IF($AS15=Q3,0,IF(Q15="",INDEX(Φύλλο2!$AJ$123:$AJ$131,9-$F15,1),INDEX(Φύλλο2!$AK$123:$AN$131,9-$F15,Q15))),IF($D15=4,IF($AS15=Q3,0,IF(Q15="",INDEX(Φύλλο2!$AR$123:$AR$131,9-$F15,1),INDEX(Φύλλο2!$AS$123:$AV$131,9-$F15,Q15))),IF($D15=5,IF($AS15=Q3,0,IF(Q15="",INDEX(Φύλλο2!$AZ$123:$AZ$131,9-$F15,1),INDEX(Φύλλο2!$BA$123:$BD$131,9-$F15,Q15))),IF($D15=0,IF($AS15=Q3,0,IF(AND($AS$13=$AS$14,$AS$14=$AS$15),IF(Q15="",INDEX(Φύλλο2!$L$123:$L$131,9-$F15,1),INDEX(Φύλλο2!$M$123:$P$131,9-$F15,Q15)),IF(Q15="",INDEX(Φύλλο2!$D$123:$D$131,9-$F15,1),INDEX(Φύλλο2!$E$123:$H$131,9-$F15,Q15)))))))))),"")</f>
        <v/>
      </c>
      <c r="S15" s="70"/>
      <c r="T15" s="69"/>
      <c r="U15" s="69"/>
      <c r="V15" s="69"/>
      <c r="W15" s="69"/>
      <c r="X15" s="71"/>
      <c r="Y15" s="60">
        <f>IF(G15&lt;&gt;"",RANK(G15,Rank11,0),6)</f>
        <v>6</v>
      </c>
      <c r="Z15" s="60">
        <f>IF(I15&lt;&gt;"",RANK(I15,Rank11,0),6)</f>
        <v>6</v>
      </c>
      <c r="AA15" s="60">
        <f>IF(K15&lt;&gt;"",RANK(K15,Rank11,0),6)</f>
        <v>6</v>
      </c>
      <c r="AB15" s="60">
        <f>IF(M15&lt;&gt;"",RANK(M15,Rank11,0),6)</f>
        <v>6</v>
      </c>
      <c r="AC15" s="60">
        <f>IF(O15&lt;&gt;"",RANK(O15,Rank11,0),6)</f>
        <v>6</v>
      </c>
      <c r="AD15" s="60">
        <f>IF(Q15&lt;&gt;"",RANK(Q15,Rank11,0),6)</f>
        <v>6</v>
      </c>
      <c r="AE15" s="60">
        <f t="shared" si="8"/>
        <v>0</v>
      </c>
      <c r="AF15" s="27">
        <f t="shared" ca="1" si="9"/>
        <v>44454.006083796296</v>
      </c>
      <c r="AG15" s="28">
        <f t="shared" ca="1" si="10"/>
        <v>6.0837962955702096E-3</v>
      </c>
      <c r="AH15">
        <f ca="1">ROUNDDOWN(AG15,7)</f>
        <v>6.0837E-3</v>
      </c>
      <c r="AI15">
        <f ca="1">AH15/0.0000004</f>
        <v>15209.25</v>
      </c>
      <c r="AJ15" s="28">
        <f t="shared" ca="1" si="11"/>
        <v>0.25</v>
      </c>
      <c r="AK15" s="29">
        <f t="shared" ca="1" si="2"/>
        <v>44452.306083796298</v>
      </c>
      <c r="AL15" s="30">
        <f t="shared" ca="1" si="3"/>
        <v>6.0837962955702096E-3</v>
      </c>
      <c r="AM15" s="31">
        <f t="shared" ca="1" si="4"/>
        <v>6.0800000000000003E-3</v>
      </c>
      <c r="AN15" s="21">
        <f t="shared" ca="1" si="5"/>
        <v>304</v>
      </c>
      <c r="AO15" s="28">
        <f t="shared" ca="1" si="6"/>
        <v>0</v>
      </c>
      <c r="AP15" s="35">
        <v>43</v>
      </c>
      <c r="AQ15" s="35" t="str">
        <f t="shared" si="1"/>
        <v/>
      </c>
      <c r="AR15" s="38">
        <f>IF(COUNT(G15,I15,K15,M15,O15,Q15)=0,0,IF(COUNT(G15,I15,K15,M15,O15,Q15)=6,IF(F15=0,53,IF(F15=1,42,IF(F15=2,31,27))),IF(COUNT(G15,I15,K15,M15,O15,Q15)=5,IF(F15=0,42,IF(F15=1,31,IF(F15=2,27,IF(F15=3,22,18)))),IF(COUNT(G15,I15,K15,M15,O15,Q15)=4,IF(F15=0,31,IF(F15=1,27,IF(F15=2,22,IF(F15=3,18,IF(F15=4,13,9))))),IF(COUNT(G15,I15,K15,M15,O15,Q15)=3,IF(F15=0,22,IF(F15=1,18,IF(F15=2,18,IF(F15=3,13,IF(F15=4,9,IF(F15=5,5,0)))))),IF(COUNT(G15,I15,K15,M15,O15,Q15)=2,IF(F15=4,5,IF(F15=5,0,IF(F15=6,-4,IF(F15=7,-8,9)))),IF(COUNT(G15,I15,K15,M15,O15,Q15)=1,IF(F15=5,-4,IF(F15=6,-8,IF(F15=7,-13,IF(F15=8,-17,0)))))))))))</f>
        <v>0</v>
      </c>
      <c r="AS15" s="57" t="str">
        <f>IF(F15&lt;&gt;9,INDEX(S3:X15,1,MATCH(AE15,S15:X15,0)),"-")</f>
        <v>-</v>
      </c>
      <c r="AT15" s="96">
        <f>IF(AQ15="",0,IF(AND(AS13=AS14,AS14=AS15),AQ15+33,AQ15))+AR15</f>
        <v>0</v>
      </c>
      <c r="AZ15" s="3"/>
      <c r="BR15" s="3" t="s">
        <v>1</v>
      </c>
      <c r="BS15">
        <f t="shared" ref="BS15:BS20" si="12">200+SUM(BT15:CB15)</f>
        <v>200</v>
      </c>
    </row>
    <row r="16" spans="1:83" ht="19.5" thickTop="1" x14ac:dyDescent="0.25">
      <c r="A16" s="14">
        <v>12</v>
      </c>
      <c r="B16" s="36">
        <v>220</v>
      </c>
      <c r="C16" s="36">
        <f t="shared" si="0"/>
        <v>0</v>
      </c>
      <c r="D16" s="36"/>
      <c r="E16" s="4">
        <v>150</v>
      </c>
      <c r="F16" s="91">
        <f t="shared" si="7"/>
        <v>9</v>
      </c>
      <c r="G16" s="85"/>
      <c r="H16" s="86" t="str">
        <f>IF($F16&lt;&gt;9,IF($D16=1,IF($AS16=G3,0,IF(G16="",INDEX(Φύλλο2!$T$135:$T$143,9-$F16,1),INDEX(Φύλλο2!$U$135:$X$143,9-$F16,G16))),IF($D16=2,IF($AS16=G3,0,IF(G16="",INDEX(Φύλλο2!$AB$135:$AB$1143,9-$F16,1),INDEX(Φύλλο2!$AC$135:$AF$143,9-$F16,G16))),IF($D16=3,IF($AS16=G3,0,IF(G16="",INDEX(Φύλλο2!$AJ$135:$AJ$143,9-$F16,1),INDEX(Φύλλο2!$AK$135:$AN$143,9-$F16,G16))),IF($D16=4,IF($AS16=G3,0,IF(G16="",INDEX(Φύλλο2!$AR$135:$AR$143,9-$F16,1),INDEX(Φύλλο2!$AS$135:$AV$143,9-$F16,G16))),IF($D16=5,IF($AS16=G3,0,IF(G16="",INDEX(Φύλλο2!$AZ$135:$AZ$143,9-$F16,1),INDEX(Φύλλο2!$BA$135:$BD$1143,9-$F16,G16))),IF($D16=0,IF($AS16=G3,0,IF(AND($AS$16=$AS$17,$AS$17=$AS$18),IF(G16="",INDEX(Φύλλο2!$L$135:$L$143,9-$F16,1),INDEX(Φύλλο2!$M$135:$P$143,9-$F16,G16)),IF(G16="",INDEX(Φύλλο2!$D$135:$D$143,9-$F16,1),INDEX(Φύλλο2!$E$135:$H$143,9-$F16,G16)))))))))),"")</f>
        <v/>
      </c>
      <c r="I16" s="85"/>
      <c r="J16" s="86" t="str">
        <f>IF($F16&lt;&gt;9,IF($D16=1,IF($AS16=I3,0,IF(I16="",INDEX(Φύλλο2!$T$135:$T$143,9-$F16,1),INDEX(Φύλλο2!$U$135:$X$143,9-$F16,I16))),IF($D16=2,IF($AS16=I3,0,IF(I16="",INDEX(Φύλλο2!$AB$135:$AB$1143,9-$F16,1),INDEX(Φύλλο2!$AC$135:$AF$143,9-$F16,I16))),IF($D16=3,IF($AS16=I3,0,IF(I16="",INDEX(Φύλλο2!$AJ$135:$AJ$143,9-$F16,1),INDEX(Φύλλο2!$AK$135:$AN$143,9-$F16,I16))),IF($D16=4,IF($AS16=I3,0,IF(I16="",INDEX(Φύλλο2!$AR$135:$AR$143,9-$F16,1),INDEX(Φύλλο2!$AS$135:$AV$143,9-$F16,I16))),IF($D16=5,IF($AS16=I3,0,IF(I16="",INDEX(Φύλλο2!$AZ$135:$AZ$143,9-$F16,1),INDEX(Φύλλο2!$BA$135:$BD$1143,9-$F16,I16))),IF($D16=0,IF($AS16=I3,0,IF(AND($AS$16=$AS$17,$AS$17=$AS$18),IF(I16="",INDEX(Φύλλο2!$L$135:$L$143,9-$F16,1),INDEX(Φύλλο2!$M$135:$P$143,9-$F16,I16)),IF(I16="",INDEX(Φύλλο2!$D$135:$D$143,9-$F16,1),INDEX(Φύλλο2!$E$135:$H$143,9-$F16,I16)))))))))),"")</f>
        <v/>
      </c>
      <c r="K16" s="85"/>
      <c r="L16" s="86" t="str">
        <f>IF($F16&lt;&gt;9,IF($D16=1,IF($AS16=K3,0,IF(K16="",INDEX(Φύλλο2!$T$135:$T$143,9-$F16,1),INDEX(Φύλλο2!$U$135:$X$143,9-$F16,K16))),IF($D16=2,IF($AS16=K3,0,IF(K16="",INDEX(Φύλλο2!$AB$135:$AB$1143,9-$F16,1),INDEX(Φύλλο2!$AC$135:$AF$143,9-$F16,K16))),IF($D16=3,IF($AS16=K3,0,IF(K16="",INDEX(Φύλλο2!$AJ$135:$AJ$143,9-$F16,1),INDEX(Φύλλο2!$AK$135:$AN$143,9-$F16,K16))),IF($D16=4,IF($AS16=K3,0,IF(K16="",INDEX(Φύλλο2!$AR$135:$AR$143,9-$F16,1),INDEX(Φύλλο2!$AS$135:$AV$143,9-$F16,K16))),IF($D16=5,IF($AS16=K3,0,IF(K16="",INDEX(Φύλλο2!$AZ$135:$AZ$143,9-$F16,1),INDEX(Φύλλο2!$BA$135:$BD$1143,9-$F16,K16))),IF($D16=0,IF($AS16=K3,0,IF(AND($AS$16=$AS$17,$AS$17=$AS$18),IF(K16="",INDEX(Φύλλο2!$L$135:$L$143,9-$F16,1),INDEX(Φύλλο2!$M$135:$P$143,9-$F16,K16)),IF(K16="",INDEX(Φύλλο2!$D$135:$D$143,9-$F16,1),INDEX(Φύλλο2!$E$135:$H$143,9-$F16,K16)))))))))),"")</f>
        <v/>
      </c>
      <c r="M16" s="85"/>
      <c r="N16" s="86" t="str">
        <f>IF($F16&lt;&gt;9,IF($D16=1,IF($AS16=M3,0,IF(M16="",INDEX(Φύλλο2!$T$135:$T$143,9-$F16,1),INDEX(Φύλλο2!$U$135:$X$143,9-$F16,M16))),IF($D16=2,IF($AS16=M3,0,IF(M16="",INDEX(Φύλλο2!$AB$135:$AB$1143,9-$F16,1),INDEX(Φύλλο2!$AC$135:$AF$143,9-$F16,M16))),IF($D16=3,IF($AS16=M3,0,IF(M16="",INDEX(Φύλλο2!$AJ$135:$AJ$143,9-$F16,1),INDEX(Φύλλο2!$AK$135:$AN$143,9-$F16,M16))),IF($D16=4,IF($AS16=M3,0,IF(M16="",INDEX(Φύλλο2!$AR$135:$AR$143,9-$F16,1),INDEX(Φύλλο2!$AS$135:$AV$143,9-$F16,M16))),IF($D16=5,IF($AS16=M3,0,IF(M16="",INDEX(Φύλλο2!$AZ$135:$AZ$143,9-$F16,1),INDEX(Φύλλο2!$BA$135:$BD$1143,9-$F16,M16))),IF($D16=0,IF($AS16=M3,0,IF(AND($AS$16=$AS$17,$AS$17=$AS$18),IF(M16="",INDEX(Φύλλο2!$L$135:$L$143,9-$F16,1),INDEX(Φύλλο2!$M$135:$P$143,9-$F16,M16)),IF(M16="",INDEX(Φύλλο2!$D$135:$D$143,9-$F16,1),INDEX(Φύλλο2!$E$135:$H$143,9-$F16,M16)))))))))),"")</f>
        <v/>
      </c>
      <c r="O16" s="85"/>
      <c r="P16" s="86" t="str">
        <f>IF($F16&lt;&gt;9,IF($D16=1,IF($AS16=O3,0,IF(O16="",INDEX(Φύλλο2!$T$135:$T$143,9-$F16,1),INDEX(Φύλλο2!$U$135:$X$143,9-$F16,O16))),IF($D16=2,IF($AS16=O3,0,IF(O16="",INDEX(Φύλλο2!$AB$135:$AB$1143,9-$F16,1),INDEX(Φύλλο2!$AC$135:$AF$143,9-$F16,O16))),IF($D16=3,IF($AS16=O3,0,IF(O16="",INDEX(Φύλλο2!$AJ$135:$AJ$143,9-$F16,1),INDEX(Φύλλο2!$AK$135:$AN$143,9-$F16,O16))),IF($D16=4,IF($AS16=O3,0,IF(O16="",INDEX(Φύλλο2!$AR$135:$AR$143,9-$F16,1),INDEX(Φύλλο2!$AS$135:$AV$143,9-$F16,O16))),IF($D16=5,IF($AS16=O3,0,IF(O16="",INDEX(Φύλλο2!$AZ$135:$AZ$143,9-$F16,1),INDEX(Φύλλο2!$BA$135:$BD$1143,9-$F16,O16))),IF($D16=0,IF($AS16=O3,0,IF(AND($AS$16=$AS$17,$AS$17=$AS$18),IF(O16="",INDEX(Φύλλο2!$L$135:$L$143,9-$F16,1),INDEX(Φύλλο2!$M$135:$P$143,9-$F16,O16)),IF(O16="",INDEX(Φύλλο2!$D$135:$D$143,9-$F16,1),INDEX(Φύλλο2!$E$135:$H$143,9-$F16,O16)))))))))),"")</f>
        <v/>
      </c>
      <c r="Q16" s="80"/>
      <c r="R16" s="76" t="str">
        <f>IF($F16&lt;&gt;9,IF($D16=1,IF($AS16=Q3,0,IF(Q16="",INDEX(Φύλλο2!$T$135:$T$143,9-$F16,1),INDEX(Φύλλο2!$U$135:$X$143,9-$F16,Q16))),IF($D16=2,IF($AS16=Q3,0,IF(Q16="",INDEX(Φύλλο2!$AB$135:$AB$1143,9-$F16,1),INDEX(Φύλλο2!$AC$135:$AF$143,9-$F16,Q16))),IF($D16=3,IF($AS16=Q3,0,IF(Q16="",INDEX(Φύλλο2!$AJ$135:$AJ$143,9-$F16,1),INDEX(Φύλλο2!$AK$135:$AN$143,9-$F16,Q16))),IF($D16=4,IF($AS16=Q3,0,IF(Q16="",INDEX(Φύλλο2!$AR$135:$AR$143,9-$F16,1),INDEX(Φύλλο2!$AS$135:$AV$143,9-$F16,Q16))),IF($D16=5,IF($AS16=Q3,0,IF(Q16="",INDEX(Φύλλο2!$AZ$135:$AZ$143,9-$F16,1),INDEX(Φύλλο2!$BA$135:$BD$1143,9-$F16,Q16))),IF($D16=0,IF($AS16=Q3,0,IF(AND($AS$16=$AS$17,$AS$17=$AS$18),IF(Q16="",INDEX(Φύλλο2!$L$135:$L$143,9-$F16,1),INDEX(Φύλλο2!$M$135:$P$143,9-$F16,Q16)),IF(Q16="",INDEX(Φύλλο2!$D$135:$D$143,9-$F16,1),INDEX(Φύλλο2!$E$135:$H$143,9-$F16,Q16)))))))))),"")</f>
        <v/>
      </c>
      <c r="S16" s="63"/>
      <c r="T16" s="64"/>
      <c r="U16" s="64"/>
      <c r="V16" s="64"/>
      <c r="W16" s="39"/>
      <c r="X16" s="36"/>
      <c r="Y16" s="60">
        <f>IF(G16&lt;&gt;"",RANK(G16,Rank12,0),6)</f>
        <v>6</v>
      </c>
      <c r="Z16" s="60">
        <f>IF(I16&lt;&gt;"",RANK(I16,Rank12,0),6)</f>
        <v>6</v>
      </c>
      <c r="AA16" s="60">
        <f>IF(K16&lt;&gt;"",RANK(K16,Rank12,0),6)</f>
        <v>6</v>
      </c>
      <c r="AB16" s="60">
        <f>IF(M16&lt;&gt;"",RANK(M16,Rank12,0),6)</f>
        <v>6</v>
      </c>
      <c r="AC16" s="60">
        <f>IF(O16&lt;&gt;"",RANK(O16,Rank12,0),6)</f>
        <v>6</v>
      </c>
      <c r="AD16" s="60">
        <f>IF(Q16&lt;&gt;"",RANK(Q16,Rank12,0),6)</f>
        <v>6</v>
      </c>
      <c r="AE16" s="60">
        <f t="shared" si="8"/>
        <v>0</v>
      </c>
      <c r="AF16" s="1">
        <f t="shared" ca="1" si="9"/>
        <v>44454.006083796296</v>
      </c>
      <c r="AG16" s="2">
        <f t="shared" ca="1" si="10"/>
        <v>6.0837962955702096E-3</v>
      </c>
      <c r="AH16">
        <f ca="1">ROUNDDOWN(AG16,8)</f>
        <v>6.0837900000000004E-3</v>
      </c>
      <c r="AI16">
        <f ca="1">AH16/0.00000004</f>
        <v>152094.75</v>
      </c>
      <c r="AJ16" s="2">
        <f t="shared" ca="1" si="11"/>
        <v>0.75</v>
      </c>
      <c r="AK16" s="7">
        <f t="shared" ca="1" si="2"/>
        <v>44452.306083796298</v>
      </c>
      <c r="AL16" s="5">
        <f t="shared" ca="1" si="3"/>
        <v>6.0837962955702096E-3</v>
      </c>
      <c r="AM16" s="6">
        <f t="shared" ca="1" si="4"/>
        <v>6.0800000000000003E-3</v>
      </c>
      <c r="AN16">
        <f t="shared" ca="1" si="5"/>
        <v>304</v>
      </c>
      <c r="AO16" s="2">
        <f t="shared" ca="1" si="6"/>
        <v>0</v>
      </c>
      <c r="AP16" s="36">
        <v>48</v>
      </c>
      <c r="AQ16" s="36" t="str">
        <f t="shared" si="1"/>
        <v/>
      </c>
      <c r="AR16" s="39">
        <f>IF(COUNT(G16,I16,K16,M16,O16,Q16)=0,0,IF(COUNT(G16,I16,K16,M16,O16,Q16)=6,IF(F16=0,57,IF(F16=1,48,IF(F16=2,33,29))),IF(COUNT(G16,I16,K16,M16,O16,Q16)=5,IF(F16=0,48,IF(F16=1,33,IF(F16=2,29,IF(F16=3,24,19)))),IF(COUNT(G16,I16,K16,M16,O16,Q16)=4,IF(F16=0,33,IF(F16=1,29,IF(F16=2,24,IF(F16=3,19,IF(F16=4,14,9))))),IF(COUNT(G16,I16,K16,M16,O16,Q16)=3,IF(F16=0,24,IF(F16=1,19,IF(F16=2,19,IF(F16=3,14,IF(F16=4,9,IF(F16=5,4,0)))))),IF(COUNT(G16,I16,K16,M16,O16,Q16)=2,IF(F16=4,4,IF(F16=5,0,IF(F16=6,-5,IF(F16=7,-10,9)))),IF(COUNT(G16,I16,K16,M16,O16,Q16)=1,IF(F16=5,-5,IF(F16=6,-10,IF(F16=7,-15,IF(F16=8,-20,0)))))))))))</f>
        <v>0</v>
      </c>
      <c r="AS16" s="67" t="str">
        <f>IF(F16&lt;&gt;9,INDEX(S3:X16,1,MATCH(AE16,S16:X16,0)),"-")</f>
        <v>-</v>
      </c>
      <c r="AT16" s="95">
        <f>IF(AQ16="",0,IF(AND(AS16=AS17,AS17=AS18),AQ16+34,AQ16))+AR16</f>
        <v>0</v>
      </c>
      <c r="AZ16" s="3"/>
      <c r="BR16" s="3" t="s">
        <v>2</v>
      </c>
      <c r="BS16">
        <f t="shared" si="12"/>
        <v>200</v>
      </c>
    </row>
    <row r="17" spans="1:76" ht="18.75" x14ac:dyDescent="0.25">
      <c r="A17" s="14">
        <v>13</v>
      </c>
      <c r="B17" s="36">
        <v>220</v>
      </c>
      <c r="C17" s="36">
        <f t="shared" si="0"/>
        <v>0</v>
      </c>
      <c r="D17" s="36"/>
      <c r="E17" s="4">
        <v>150</v>
      </c>
      <c r="F17" s="91">
        <f t="shared" si="7"/>
        <v>9</v>
      </c>
      <c r="G17" s="85"/>
      <c r="H17" s="86" t="str">
        <f>IF($F17&lt;&gt;9,IF($D17=1,IF($AS17=G3,0,IF(G17="",INDEX(Φύλλο2!$T$147:$T$155,9-$F17,1),INDEX(Φύλλο2!$U$147:$X$155,9-$F17,G17))),IF($D17=2,IF($AS17=G3,0,IF(G17="",INDEX(Φύλλο2!$AB$147:$AB$155,9-$F17,1),INDEX(Φύλλο2!$AC$147:$AF$155,9-$F17,G17))),IF($D17=3,IF($AS17=G3,0,IF(G17="",INDEX(Φύλλο2!$AJ$147:$AJ$155,9-$F17,1),INDEX(Φύλλο2!$AK$147:$AN$155,9-$F17,G17))),IF($D17=4,IF($AS17=G3,0,IF(G17="",INDEX(Φύλλο2!$AR$147:$AR$155,9-$F17,1),INDEX(Φύλλο2!$AS$147:$AV$155,9-$F17,G17))),IF($D17=5,IF($AS17=G3,0,IF(G17="",INDEX(Φύλλο2!$AZ$147:$AZ$155,9-$F17,1),INDEX(Φύλλο2!$BA$147:$BD$155,9-$F17,G17))),IF($D17=0,IF($AS17=G3,0,IF(AND($AS$16=$AS$17,$AS$17=$AS$18),IF(G17="",INDEX(Φύλλο2!$L$147:$L$155,9-$F17,1),INDEX(Φύλλο2!$M$147:$P$155,9-$F17,G17)),IF(G17="",INDEX(Φύλλο2!$D$147:$D$155,9-$F17,1),INDEX(Φύλλο2!$E$147:$H$155,9-$F17,G17)))))))))),"")</f>
        <v/>
      </c>
      <c r="I17" s="85"/>
      <c r="J17" s="86" t="str">
        <f>IF($F17&lt;&gt;9,IF($D17=1,IF($AS17=I3,0,IF(I17="",INDEX(Φύλλο2!$T$147:$T$155,9-$F17,1),INDEX(Φύλλο2!$U$147:$X$155,9-$F17,I17))),IF($D17=2,IF($AS17=I3,0,IF(I17="",INDEX(Φύλλο2!$AB$147:$AB$155,9-$F17,1),INDEX(Φύλλο2!$AC$147:$AF$155,9-$F17,I17))),IF($D17=3,IF($AS17=I3,0,IF(I17="",INDEX(Φύλλο2!$AJ$147:$AJ$155,9-$F17,1),INDEX(Φύλλο2!$AK$147:$AN$155,9-$F17,I17))),IF($D17=4,IF($AS17=I3,0,IF(I17="",INDEX(Φύλλο2!$AR$147:$AR$155,9-$F17,1),INDEX(Φύλλο2!$AS$147:$AV$155,9-$F17,I17))),IF($D17=5,IF($AS17=I3,0,IF(I17="",INDEX(Φύλλο2!$AZ$147:$AZ$155,9-$F17,1),INDEX(Φύλλο2!$BA$147:$BD$155,9-$F17,I17))),IF($D17=0,IF($AS17=I3,0,IF(AND($AS$16=$AS$17,$AS$17=$AS$18),IF(I17="",INDEX(Φύλλο2!$L$147:$L$155,9-$F17,1),INDEX(Φύλλο2!$M$147:$P$155,9-$F17,I17)),IF(I17="",INDEX(Φύλλο2!$D$147:$D$155,9-$F17,1),INDEX(Φύλλο2!$E$147:$H$155,9-$F17,I17)))))))))),"")</f>
        <v/>
      </c>
      <c r="K17" s="85"/>
      <c r="L17" s="86" t="str">
        <f>IF($F17&lt;&gt;9,IF($D17=1,IF($AS17=K3,0,IF(K17="",INDEX(Φύλλο2!$T$147:$T$155,9-$F17,1),INDEX(Φύλλο2!$U$147:$X$155,9-$F17,K17))),IF($D17=2,IF($AS17=K3,0,IF(K17="",INDEX(Φύλλο2!$AB$147:$AB$155,9-$F17,1),INDEX(Φύλλο2!$AC$147:$AF$155,9-$F17,K17))),IF($D17=3,IF($AS17=K3,0,IF(K17="",INDEX(Φύλλο2!$AJ$147:$AJ$155,9-$F17,1),INDEX(Φύλλο2!$AK$147:$AN$155,9-$F17,K17))),IF($D17=4,IF($AS17=K3,0,IF(K17="",INDEX(Φύλλο2!$AR$147:$AR$155,9-$F17,1),INDEX(Φύλλο2!$AS$147:$AV$155,9-$F17,K17))),IF($D17=5,IF($AS17=K3,0,IF(K17="",INDEX(Φύλλο2!$AZ$147:$AZ$155,9-$F17,1),INDEX(Φύλλο2!$BA$147:$BD$155,9-$F17,K17))),IF($D17=0,IF($AS17=K3,0,IF(AND($AS$16=$AS$17,$AS$17=$AS$18),IF(K17="",INDEX(Φύλλο2!$L$147:$L$155,9-$F17,1),INDEX(Φύλλο2!$M$147:$P$155,9-$F17,K17)),IF(K17="",INDEX(Φύλλο2!$D$147:$D$155,9-$F17,1),INDEX(Φύλλο2!$E$147:$H$155,9-$F17,K17)))))))))),"")</f>
        <v/>
      </c>
      <c r="M17" s="85"/>
      <c r="N17" s="86" t="str">
        <f>IF($F17&lt;&gt;9,IF($D17=1,IF($AS17=M3,0,IF(M17="",INDEX(Φύλλο2!$T$147:$T$155,9-$F17,1),INDEX(Φύλλο2!$U$147:$X$155,9-$F17,M17))),IF($D17=2,IF($AS17=M3,0,IF(M17="",INDEX(Φύλλο2!$AB$147:$AB$155,9-$F17,1),INDEX(Φύλλο2!$AC$147:$AF$155,9-$F17,M17))),IF($D17=3,IF($AS17=M3,0,IF(M17="",INDEX(Φύλλο2!$AJ$147:$AJ$155,9-$F17,1),INDEX(Φύλλο2!$AK$147:$AN$155,9-$F17,M17))),IF($D17=4,IF($AS17=M3,0,IF(M17="",INDEX(Φύλλο2!$AR$147:$AR$155,9-$F17,1),INDEX(Φύλλο2!$AS$147:$AV$155,9-$F17,M17))),IF($D17=5,IF($AS17=M3,0,IF(M17="",INDEX(Φύλλο2!$AZ$147:$AZ$155,9-$F17,1),INDEX(Φύλλο2!$BA$147:$BD$155,9-$F17,M17))),IF($D17=0,IF($AS17=M3,0,IF(AND($AS$16=$AS$17,$AS$17=$AS$18),IF(M17="",INDEX(Φύλλο2!$L$147:$L$155,9-$F17,1),INDEX(Φύλλο2!$M$147:$P$155,9-$F17,M17)),IF(M17="",INDEX(Φύλλο2!$D$147:$D$155,9-$F17,1),INDEX(Φύλλο2!$E$147:$H$155,9-$F17,M17)))))))))),"")</f>
        <v/>
      </c>
      <c r="O17" s="85"/>
      <c r="P17" s="86" t="str">
        <f>IF($F17&lt;&gt;9,IF($D17=1,IF($AS17=O3,0,IF(O17="",INDEX(Φύλλο2!$T$147:$T$155,9-$F17,1),INDEX(Φύλλο2!$U$147:$X$155,9-$F17,O17))),IF($D17=2,IF($AS17=O3,0,IF(O17="",INDEX(Φύλλο2!$AB$147:$AB$155,9-$F17,1),INDEX(Φύλλο2!$AC$147:$AF$155,9-$F17,O17))),IF($D17=3,IF($AS17=O3,0,IF(O17="",INDEX(Φύλλο2!$AJ$147:$AJ$155,9-$F17,1),INDEX(Φύλλο2!$AK$147:$AN$155,9-$F17,O17))),IF($D17=4,IF($AS17=O3,0,IF(O17="",INDEX(Φύλλο2!$AR$147:$AR$155,9-$F17,1),INDEX(Φύλλο2!$AS$147:$AV$155,9-$F17,O17))),IF($D17=5,IF($AS17=O3,0,IF(O17="",INDEX(Φύλλο2!$AZ$147:$AZ$155,9-$F17,1),INDEX(Φύλλο2!$BA$147:$BD$155,9-$F17,O17))),IF($D17=0,IF($AS17=O3,0,IF(AND($AS$16=$AS$17,$AS$17=$AS$18),IF(O17="",INDEX(Φύλλο2!$L$147:$L$155,9-$F17,1),INDEX(Φύλλο2!$M$147:$P$155,9-$F17,O17)),IF(O17="",INDEX(Φύλλο2!$D$147:$D$155,9-$F17,1),INDEX(Φύλλο2!$E$147:$H$155,9-$F17,O17)))))))))),"")</f>
        <v/>
      </c>
      <c r="Q17" s="80"/>
      <c r="R17" s="76" t="str">
        <f>IF($F17&lt;&gt;9,IF($D17=1,IF($AS17=Q3,0,IF(Q17="",INDEX(Φύλλο2!$T$147:$T$155,9-$F17,1),INDEX(Φύλλο2!$U$147:$X$155,9-$F17,Q17))),IF($D17=2,IF($AS17=Q3,0,IF(Q17="",INDEX(Φύλλο2!$AB$147:$AB$155,9-$F17,1),INDEX(Φύλλο2!$AC$147:$AF$155,9-$F17,Q17))),IF($D17=3,IF($AS17=Q3,0,IF(Q17="",INDEX(Φύλλο2!$AJ$147:$AJ$155,9-$F17,1),INDEX(Φύλλο2!$AK$147:$AN$155,9-$F17,Q17))),IF($D17=4,IF($AS17=Q3,0,IF(Q17="",INDEX(Φύλλο2!$AR$147:$AR$155,9-$F17,1),INDEX(Φύλλο2!$AS$147:$AV$155,9-$F17,Q17))),IF($D17=5,IF($AS17=Q3,0,IF(Q17="",INDEX(Φύλλο2!$AZ$147:$AZ$155,9-$F17,1),INDEX(Φύλλο2!$BA$147:$BD$155,9-$F17,Q17))),IF($D17=0,IF($AS17=Q3,0,IF(AND($AS$16=$AS$17,$AS$17=$AS$18),IF(Q17="",INDEX(Φύλλο2!$L$147:$L$155,9-$F17,1),INDEX(Φύλλο2!$M$147:$P$155,9-$F17,Q17)),IF(Q17="",INDEX(Φύλλο2!$D$147:$D$155,9-$F17,1),INDEX(Φύλλο2!$E$147:$H$155,9-$F17,Q17)))))))))),"")</f>
        <v/>
      </c>
      <c r="S17" s="63"/>
      <c r="T17" s="64"/>
      <c r="U17" s="64"/>
      <c r="V17" s="64"/>
      <c r="W17" s="39"/>
      <c r="X17" s="36"/>
      <c r="Y17" s="60">
        <f>IF(G17&lt;&gt;"",RANK(G17,Rank13,0),6)</f>
        <v>6</v>
      </c>
      <c r="Z17" s="60">
        <f>IF(I17&lt;&gt;"",RANK(I17,Rank13,0),6)</f>
        <v>6</v>
      </c>
      <c r="AA17" s="60">
        <f>IF(K17&lt;&gt;"",RANK(K17,Rank13,0),6)</f>
        <v>6</v>
      </c>
      <c r="AB17" s="60">
        <f>IF(M17&lt;&gt;"",RANK(M17,Rank13,0),6)</f>
        <v>6</v>
      </c>
      <c r="AC17" s="60">
        <f>IF(O17&lt;&gt;"",RANK(O17,Rank13,0),6)</f>
        <v>6</v>
      </c>
      <c r="AD17" s="60">
        <f>IF(Q17&lt;&gt;"",RANK(Q17,Rank13,0),6)</f>
        <v>6</v>
      </c>
      <c r="AE17" s="60">
        <f t="shared" si="8"/>
        <v>0</v>
      </c>
      <c r="AF17" s="1">
        <f t="shared" ca="1" si="9"/>
        <v>44454.006083796296</v>
      </c>
      <c r="AG17" s="2">
        <f t="shared" ca="1" si="10"/>
        <v>6.0837962955702096E-3</v>
      </c>
      <c r="AH17">
        <f ca="1">ROUNDDOWN(AG17,6)</f>
        <v>6.0829999999999999E-3</v>
      </c>
      <c r="AI17">
        <f ca="1">AH17/0.000004</f>
        <v>1520.75</v>
      </c>
      <c r="AJ17" s="2">
        <f t="shared" ca="1" si="11"/>
        <v>0.75</v>
      </c>
      <c r="AK17" s="7">
        <f t="shared" ca="1" si="2"/>
        <v>44452.306083796298</v>
      </c>
      <c r="AL17" s="5">
        <f t="shared" ca="1" si="3"/>
        <v>6.0837962955702096E-3</v>
      </c>
      <c r="AM17" s="6">
        <f t="shared" ca="1" si="4"/>
        <v>6.0800000000000003E-3</v>
      </c>
      <c r="AN17">
        <f t="shared" ca="1" si="5"/>
        <v>304</v>
      </c>
      <c r="AO17" s="2">
        <f t="shared" ca="1" si="6"/>
        <v>0</v>
      </c>
      <c r="AP17" s="36">
        <v>48</v>
      </c>
      <c r="AQ17" s="36" t="str">
        <f t="shared" si="1"/>
        <v/>
      </c>
      <c r="AR17" s="39">
        <f>IF(COUNT(G17,I17,K17,M17,O17,Q17)=0,0,IF(COUNT(G17,I17,K17,M17,O17,Q17)=6,IF(F17=0,57,IF(F17=1,48,IF(F17=2,33,29))),IF(COUNT(G17,I17,K17,M17,O17,Q17)=5,IF(F17=0,48,IF(F17=1,33,IF(F17=2,29,IF(F17=3,24,19)))),IF(COUNT(G17,I17,K17,M17,O17,Q17)=4,IF(F17=0,33,IF(F17=1,29,IF(F17=2,24,IF(F17=3,19,IF(F17=4,14,9))))),IF(COUNT(G17,I17,K17,M17,O17,Q17)=3,IF(F17=0,24,IF(F17=1,19,IF(F17=2,19,IF(F17=3,14,IF(F17=4,9,IF(F17=5,4,0)))))),IF(COUNT(G17,I17,K17,M17,O17,Q17)=2,IF(F17=4,4,IF(F17=5,0,IF(F17=6,-5,IF(F17=7,-10,9)))),IF(COUNT(G17,I17,K17,M17,O17,Q17)=1,IF(F17=5,-5,IF(F17=6,-10,IF(F17=7,-15,IF(F17=8,-20,0)))))))))))</f>
        <v>0</v>
      </c>
      <c r="AS17" s="57" t="str">
        <f>IF(F17&lt;&gt;9,INDEX(S3:X17,1,MATCH(AE17,S17:X17,0)),"-")</f>
        <v>-</v>
      </c>
      <c r="AT17" s="97">
        <f>IF(AQ17="",0,IF(AND(AS16=AS17,AS17=AS18),AQ17+34,AQ17))+AR17</f>
        <v>0</v>
      </c>
      <c r="AZ17" s="3"/>
      <c r="BR17" s="3" t="s">
        <v>3</v>
      </c>
      <c r="BS17">
        <f t="shared" si="12"/>
        <v>200</v>
      </c>
    </row>
    <row r="18" spans="1:76" ht="19.5" thickBot="1" x14ac:dyDescent="0.3">
      <c r="A18" s="24">
        <v>14</v>
      </c>
      <c r="B18" s="35">
        <v>240</v>
      </c>
      <c r="C18" s="35">
        <f t="shared" si="0"/>
        <v>0</v>
      </c>
      <c r="D18" s="35"/>
      <c r="E18" s="20">
        <v>150</v>
      </c>
      <c r="F18" s="90">
        <f t="shared" si="7"/>
        <v>9</v>
      </c>
      <c r="G18" s="83"/>
      <c r="H18" s="84" t="str">
        <f>IF($F18&lt;&gt;9,IF($D18=1,IF($AS18=G3,0,IF(G18="",INDEX(Φύλλο2!$T$159:$T$167,9-$F18,1),INDEX(Φύλλο2!$U$159:$X$167,9-$F18,G18))),IF($D18=2,IF($AS18=G3,0,IF(G18="",INDEX(Φύλλο2!$AB$159:$AB$167,9-$F18,1),INDEX(Φύλλο2!$AC$159:$AF$167,9-$F18,G18))),IF($D18=3,IF($AS18=G3,0,IF(G18="",INDEX(Φύλλο2!$AJ$159:$AJ$167,9-$F18,1),INDEX(Φύλλο2!$AK$159:$AN$167,9-$F18,G18))),IF($D18=4,IF($AS18=G3,0,IF(G18="",INDEX(Φύλλο2!$AR$159:$AR$167,9-$F18,1),INDEX(Φύλλο2!$AS$159:$AV$167,9-$F18,G18))),IF($D18=5,IF($AS18=G3,0,IF(G18="",INDEX(Φύλλο2!$AZ$159:$AZ$167,9-$F18,1),INDEX(Φύλλο2!$BA$159:$BD$167,9-$F18,G18))),IF($D18=0,IF($AS18=G3,0,IF(AND($AS$16=$AS$17,$AS$17=$AS$18),IF(G18="",INDEX(Φύλλο2!$L$159:$L$167,9-$F18,1),INDEX(Φύλλο2!$M$159:$P$167,9-$F18,G18)),IF(G18="",INDEX(Φύλλο2!$D$159:$D$167,9-$F18,1),INDEX(Φύλλο2!$E$159:$H$167,9-$F18,G18)))))))))),"")</f>
        <v/>
      </c>
      <c r="I18" s="83"/>
      <c r="J18" s="84" t="str">
        <f>IF($F18&lt;&gt;9,IF($D18=1,IF($AS18=I3,0,IF(I18="",INDEX(Φύλλο2!$T$159:$T$167,9-$F18,1),INDEX(Φύλλο2!$U$159:$X$167,9-$F18,I18))),IF($D18=2,IF($AS18=I3,0,IF(I18="",INDEX(Φύλλο2!$AB$159:$AB$167,9-$F18,1),INDEX(Φύλλο2!$AC$159:$AF$167,9-$F18,I18))),IF($D18=3,IF($AS18=I3,0,IF(I18="",INDEX(Φύλλο2!$AJ$159:$AJ$167,9-$F18,1),INDEX(Φύλλο2!$AK$159:$AN$167,9-$F18,I18))),IF($D18=4,IF($AS18=I3,0,IF(I18="",INDEX(Φύλλο2!$AR$159:$AR$167,9-$F18,1),INDEX(Φύλλο2!$AS$159:$AV$167,9-$F18,I18))),IF($D18=5,IF($AS18=I3,0,IF(I18="",INDEX(Φύλλο2!$AZ$159:$AZ$167,9-$F18,1),INDEX(Φύλλο2!$BA$159:$BD$167,9-$F18,I18))),IF($D18=0,IF($AS18=I3,0,IF(AND($AS$16=$AS$17,$AS$17=$AS$18),IF(I18="",INDEX(Φύλλο2!$L$159:$L$167,9-$F18,1),INDEX(Φύλλο2!$M$159:$P$167,9-$F18,I18)),IF(I18="",INDEX(Φύλλο2!$D$159:$D$167,9-$F18,1),INDEX(Φύλλο2!$E$159:$H$167,9-$F18,I18)))))))))),"")</f>
        <v/>
      </c>
      <c r="K18" s="83"/>
      <c r="L18" s="84" t="str">
        <f>IF($F18&lt;&gt;9,IF($D18=1,IF($AS18=K3,0,IF(K18="",INDEX(Φύλλο2!$T$159:$T$167,9-$F18,1),INDEX(Φύλλο2!$U$159:$X$167,9-$F18,K18))),IF($D18=2,IF($AS18=K3,0,IF(K18="",INDEX(Φύλλο2!$AB$159:$AB$167,9-$F18,1),INDEX(Φύλλο2!$AC$159:$AF$167,9-$F18,K18))),IF($D18=3,IF($AS18=K3,0,IF(K18="",INDEX(Φύλλο2!$AJ$159:$AJ$167,9-$F18,1),INDEX(Φύλλο2!$AK$159:$AN$167,9-$F18,K18))),IF($D18=4,IF($AS18=K3,0,IF(K18="",INDEX(Φύλλο2!$AR$159:$AR$167,9-$F18,1),INDEX(Φύλλο2!$AS$159:$AV$167,9-$F18,K18))),IF($D18=5,IF($AS18=K3,0,IF(K18="",INDEX(Φύλλο2!$AZ$159:$AZ$167,9-$F18,1),INDEX(Φύλλο2!$BA$159:$BD$167,9-$F18,K18))),IF($D18=0,IF($AS18=K3,0,IF(AND($AS$16=$AS$17,$AS$17=$AS$18),IF(K18="",INDEX(Φύλλο2!$L$159:$L$167,9-$F18,1),INDEX(Φύλλο2!$M$159:$P$167,9-$F18,K18)),IF(K18="",INDEX(Φύλλο2!$D$159:$D$167,9-$F18,1),INDEX(Φύλλο2!$E$159:$H$167,9-$F18,K18)))))))))),"")</f>
        <v/>
      </c>
      <c r="M18" s="83"/>
      <c r="N18" s="84" t="str">
        <f>IF($F18&lt;&gt;9,IF($D18=1,IF($AS18=M3,0,IF(M18="",INDEX(Φύλλο2!$T$159:$T$167,9-$F18,1),INDEX(Φύλλο2!$U$159:$X$167,9-$F18,M18))),IF($D18=2,IF($AS18=M3,0,IF(M18="",INDEX(Φύλλο2!$AB$159:$AB$167,9-$F18,1),INDEX(Φύλλο2!$AC$159:$AF$167,9-$F18,M18))),IF($D18=3,IF($AS18=M3,0,IF(M18="",INDEX(Φύλλο2!$AJ$159:$AJ$167,9-$F18,1),INDEX(Φύλλο2!$AK$159:$AN$167,9-$F18,M18))),IF($D18=4,IF($AS18=M3,0,IF(M18="",INDEX(Φύλλο2!$AR$159:$AR$167,9-$F18,1),INDEX(Φύλλο2!$AS$159:$AV$167,9-$F18,M18))),IF($D18=5,IF($AS18=M3,0,IF(M18="",INDEX(Φύλλο2!$AZ$159:$AZ$167,9-$F18,1),INDEX(Φύλλο2!$BA$159:$BD$167,9-$F18,M18))),IF($D18=0,IF($AS18=M3,0,IF(AND($AS$16=$AS$17,$AS$17=$AS$18),IF(M18="",INDEX(Φύλλο2!$L$159:$L$167,9-$F18,1),INDEX(Φύλλο2!$M$159:$P$167,9-$F18,M18)),IF(M18="",INDEX(Φύλλο2!$D$159:$D$167,9-$F18,1),INDEX(Φύλλο2!$E$159:$H$167,9-$F18,M18)))))))))),"")</f>
        <v/>
      </c>
      <c r="O18" s="83"/>
      <c r="P18" s="84" t="str">
        <f>IF($F18&lt;&gt;9,IF($D18=1,IF($AS18=O3,0,IF(O18="",INDEX(Φύλλο2!$T$159:$T$167,9-$F18,1),INDEX(Φύλλο2!$U$159:$X$167,9-$F18,O18))),IF($D18=2,IF($AS18=O3,0,IF(O18="",INDEX(Φύλλο2!$AB$159:$AB$167,9-$F18,1),INDEX(Φύλλο2!$AC$159:$AF$167,9-$F18,O18))),IF($D18=3,IF($AS18=O3,0,IF(O18="",INDEX(Φύλλο2!$AJ$159:$AJ$167,9-$F18,1),INDEX(Φύλλο2!$AK$159:$AN$167,9-$F18,O18))),IF($D18=4,IF($AS18=O3,0,IF(O18="",INDEX(Φύλλο2!$AR$159:$AR$167,9-$F18,1),INDEX(Φύλλο2!$AS$159:$AV$167,9-$F18,O18))),IF($D18=5,IF($AS18=O3,0,IF(O18="",INDEX(Φύλλο2!$AZ$159:$AZ$167,9-$F18,1),INDEX(Φύλλο2!$BA$159:$BD$167,9-$F18,O18))),IF($D18=0,IF($AS18=O3,0,IF(AND($AS$16=$AS$17,$AS$17=$AS$18),IF(O18="",INDEX(Φύλλο2!$L$159:$L$167,9-$F18,1),INDEX(Φύλλο2!$M$159:$P$167,9-$F18,O18)),IF(O18="",INDEX(Φύλλο2!$D$159:$D$167,9-$F18,1),INDEX(Φύλλο2!$E$159:$H$167,9-$F18,O18)))))))))),"")</f>
        <v/>
      </c>
      <c r="Q18" s="79"/>
      <c r="R18" s="75" t="str">
        <f>IF($F18&lt;&gt;9,IF($D18=1,IF($AS18=Q3,0,IF(Q18="",INDEX(Φύλλο2!$T$159:$T$167,9-$F18,1),INDEX(Φύλλο2!$U$159:$X$167,9-$F18,Q18))),IF($D18=2,IF($AS18=Q3,0,IF(Q18="",INDEX(Φύλλο2!$AB$159:$AB$167,9-$F18,1),INDEX(Φύλλο2!$AC$159:$AF$167,9-$F18,Q18))),IF($D18=3,IF($AS18=Q3,0,IF(Q18="",INDEX(Φύλλο2!$AJ$159:$AJ$167,9-$F18,1),INDEX(Φύλλο2!$AK$159:$AN$167,9-$F18,Q18))),IF($D18=4,IF($AS18=Q3,0,IF(Q18="",INDEX(Φύλλο2!$AR$159:$AR$167,9-$F18,1),INDEX(Φύλλο2!$AS$159:$AV$167,9-$F18,Q18))),IF($D18=5,IF($AS18=Q3,0,IF(Q18="",INDEX(Φύλλο2!$AZ$159:$AZ$167,9-$F18,1),INDEX(Φύλλο2!$BA$159:$BD$167,9-$F18,Q18))),IF($D18=0,IF($AS18=Q3,0,IF(AND($AS$16=$AS$17,$AS$17=$AS$18),IF(Q18="",INDEX(Φύλλο2!$L$159:$L$167,9-$F18,1),INDEX(Φύλλο2!$M$159:$P$167,9-$F18,Q18)),IF(Q18="",INDEX(Φύλλο2!$D$159:$D$167,9-$F18,1),INDEX(Φύλλο2!$E$159:$H$167,9-$F18,Q18)))))))))),"")</f>
        <v/>
      </c>
      <c r="S18" s="70"/>
      <c r="T18" s="69"/>
      <c r="U18" s="69"/>
      <c r="V18" s="69"/>
      <c r="W18" s="38"/>
      <c r="X18" s="35"/>
      <c r="Y18" s="60">
        <f>IF(G18&lt;&gt;"",RANK(G18,Rank14,0),6)</f>
        <v>6</v>
      </c>
      <c r="Z18" s="60">
        <f>IF(I18&lt;&gt;"",RANK(I18,Rank14,0),6)</f>
        <v>6</v>
      </c>
      <c r="AA18" s="60">
        <f>IF(K18&lt;&gt;"",RANK(K18,Rank14,0),6)</f>
        <v>6</v>
      </c>
      <c r="AB18" s="60">
        <f>IF(M18&lt;&gt;"",RANK(M18,Rank14,0),6)</f>
        <v>6</v>
      </c>
      <c r="AC18" s="60">
        <f>IF(O18&lt;&gt;"",RANK(O18,Rank14,0),6)</f>
        <v>6</v>
      </c>
      <c r="AD18" s="60">
        <f>IF(Q18&lt;&gt;"",RANK(Q18,Rank14,0),6)</f>
        <v>6</v>
      </c>
      <c r="AE18" s="60">
        <f t="shared" si="8"/>
        <v>0</v>
      </c>
      <c r="AF18" s="27">
        <f t="shared" ca="1" si="9"/>
        <v>44454.006083796296</v>
      </c>
      <c r="AG18" s="28">
        <f t="shared" ca="1" si="10"/>
        <v>6.0837962955702096E-3</v>
      </c>
      <c r="AH18">
        <f ca="1">ROUNDDOWN(AG18,7)</f>
        <v>6.0837E-3</v>
      </c>
      <c r="AI18">
        <f ca="1">AH18/0.0000004</f>
        <v>15209.25</v>
      </c>
      <c r="AJ18" s="28">
        <f t="shared" ca="1" si="11"/>
        <v>0.25</v>
      </c>
      <c r="AK18" s="29">
        <f t="shared" ca="1" si="2"/>
        <v>44452.306083796298</v>
      </c>
      <c r="AL18" s="30">
        <f t="shared" ca="1" si="3"/>
        <v>6.0837962955702096E-3</v>
      </c>
      <c r="AM18" s="31">
        <f t="shared" ca="1" si="4"/>
        <v>6.0800000000000003E-3</v>
      </c>
      <c r="AN18" s="21">
        <f t="shared" ca="1" si="5"/>
        <v>304</v>
      </c>
      <c r="AO18" s="28">
        <f t="shared" ca="1" si="6"/>
        <v>0</v>
      </c>
      <c r="AP18" s="35">
        <v>52</v>
      </c>
      <c r="AQ18" s="35" t="str">
        <f t="shared" si="1"/>
        <v/>
      </c>
      <c r="AR18" s="38">
        <f>IF(COUNT(G18,I18,K18,M18,O18,Q18)=0,0,IF(COUNT(G18,I18,K18,M18,O18,Q18)=6,IF(F18=0,63,IF(F18=1,53,IF(F18=2,37,32))),IF(COUNT(G18,I18,K18,M18,O18,Q18)=5,IF(F18=0,53,IF(F18=1,37,IF(F18=2,32,IF(F18=3,26,21)))),IF(COUNT(G18,I18,K18,M18,O18,Q18)=4,IF(F18=0,37,IF(F18=1,32,IF(F18=2,26,IF(F18=3,21,IF(F18=4,16,11))))),IF(COUNT(G18,I18,K18,M18,O18,Q18)=3,IF(F18=0,26,IF(F18=1,21,IF(F18=2,21,IF(F18=3,16,IF(F18=4,11,IF(F18=5,5,0)))))),IF(COUNT(G18,I18,K18,M18,O18,Q18)=2,IF(F18=4,5,IF(F18=5,0,IF(F18=6,-5,IF(F18=7,-10,11)))),IF(COUNT(G18,I18,K18,M18,O18,Q18)=1,IF(F18=5,-5,IF(F18=6,-10,IF(F18=7,-16,IF(F18=8,-21,0)))))))))))</f>
        <v>0</v>
      </c>
      <c r="AS18" s="57" t="str">
        <f>IF(F18&lt;&gt;9,INDEX(S3:X18,1,MATCH(AE18,S18:X18,0)),"-")</f>
        <v>-</v>
      </c>
      <c r="AT18" s="96">
        <f>IF(AQ18="",0,IF(AND(AS16=AS17,AS17=AS18),AQ18+38,AQ18))+AR18</f>
        <v>0</v>
      </c>
      <c r="AZ18" s="3"/>
      <c r="BR18" s="3" t="s">
        <v>4</v>
      </c>
      <c r="BS18">
        <f t="shared" si="12"/>
        <v>200</v>
      </c>
    </row>
    <row r="19" spans="1:76" ht="19.5" thickTop="1" x14ac:dyDescent="0.25">
      <c r="A19" s="9">
        <v>15</v>
      </c>
      <c r="B19" s="36">
        <v>260</v>
      </c>
      <c r="C19" s="36">
        <f t="shared" si="0"/>
        <v>0</v>
      </c>
      <c r="D19" s="36"/>
      <c r="E19" s="4">
        <v>150</v>
      </c>
      <c r="F19" s="91">
        <f t="shared" si="7"/>
        <v>9</v>
      </c>
      <c r="G19" s="85"/>
      <c r="H19" s="86" t="str">
        <f>IF($F19&lt;&gt;9,IF($D19=1,IF($AS19=G3,0,IF(G19="",INDEX(Φύλλο2!$T$171:$T$179,9-$F19,1),INDEX(Φύλλο2!$U$171:$X$179,9-$F19,G19))),IF($D19=2,IF($AS19=G3,0,IF(G19="",INDEX(Φύλλο2!$AB$171:$AB$179,9-$F19,1),INDEX(Φύλλο2!$AC$171:$AF$179,9-$F19,G19))),IF($D19=3,IF($AS19=G3,0,IF(G19="",INDEX(Φύλλο2!$AJ$171:$AJ$179,9-$F19,1),INDEX(Φύλλο2!$AK$171:$AN$179,9-$F19,G19))),IF($D19=4,IF($AS19=G3,0,IF(G19="",INDEX(Φύλλο2!$AR$171:$AR$179,9-$F19,1),INDEX(Φύλλο2!$AS$171:$AV$179,9-$F19,G19))),IF($D19=5,IF($AS19=G3,0,IF(G19="",INDEX(Φύλλο2!$AZ$171:$AZ$179,9-$F19,1),INDEX(Φύλλο2!$BA$171:$BD$179,9-$F19,G19))),IF($D19=0,IF($AS19=G3,0,IF(AND($AS$19=$AS$20,$AS$20=$AS$21),IF(G19="",INDEX(Φύλλο2!$L$171:$L$179,9-$F19,1),INDEX(Φύλλο2!$M$171:$P$179,9-$F19,G19)),IF(G19="",INDEX(Φύλλο2!$D$171:$D$179,9-$F19,1),INDEX(Φύλλο2!$E$171:$H$179,9-$F19,G19)))))))))),"")</f>
        <v/>
      </c>
      <c r="I19" s="85"/>
      <c r="J19" s="86" t="str">
        <f>IF($F19&lt;&gt;9,IF($D19=1,IF($AS19=I3,0,IF(I19="",INDEX(Φύλλο2!$T$171:$T$179,9-$F19,1),INDEX(Φύλλο2!$U$171:$X$179,9-$F19,I19))),IF($D19=2,IF($AS19=I3,0,IF(I19="",INDEX(Φύλλο2!$AB$171:$AB$179,9-$F19,1),INDEX(Φύλλο2!$AC$171:$AF$179,9-$F19,I19))),IF($D19=3,IF($AS19=I3,0,IF(I19="",INDEX(Φύλλο2!$AJ$171:$AJ$179,9-$F19,1),INDEX(Φύλλο2!$AK$171:$AN$179,9-$F19,I19))),IF($D19=4,IF($AS19=I3,0,IF(I19="",INDEX(Φύλλο2!$AR$171:$AR$179,9-$F19,1),INDEX(Φύλλο2!$AS$171:$AV$179,9-$F19,I19))),IF($D19=5,IF($AS19=I3,0,IF(I19="",INDEX(Φύλλο2!$AZ$171:$AZ$179,9-$F19,1),INDEX(Φύλλο2!$BA$171:$BD$179,9-$F19,I19))),IF($D19=0,IF($AS19=I3,0,IF(AND($AS$19=$AS$20,$AS$20=$AS$21),IF(I19="",INDEX(Φύλλο2!$L$171:$L$179,9-$F19,1),INDEX(Φύλλο2!$M$171:$P$179,9-$F19,I19)),IF(I19="",INDEX(Φύλλο2!$D$171:$D$179,9-$F19,1),INDEX(Φύλλο2!$E$171:$H$179,9-$F19,I19)))))))))),"")</f>
        <v/>
      </c>
      <c r="K19" s="85"/>
      <c r="L19" s="86" t="str">
        <f>IF($F19&lt;&gt;9,IF($D19=1,IF($AS19=K3,0,IF(K19="",INDEX(Φύλλο2!$T$171:$T$179,9-$F19,1),INDEX(Φύλλο2!$U$171:$X$179,9-$F19,K19))),IF($D19=2,IF($AS19=K3,0,IF(K19="",INDEX(Φύλλο2!$AB$171:$AB$179,9-$F19,1),INDEX(Φύλλο2!$AC$171:$AF$179,9-$F19,K19))),IF($D19=3,IF($AS19=K3,0,IF(K19="",INDEX(Φύλλο2!$AJ$171:$AJ$179,9-$F19,1),INDEX(Φύλλο2!$AK$171:$AN$179,9-$F19,K19))),IF($D19=4,IF($AS19=K3,0,IF(K19="",INDEX(Φύλλο2!$AR$171:$AR$179,9-$F19,1),INDEX(Φύλλο2!$AS$171:$AV$179,9-$F19,K19))),IF($D19=5,IF($AS19=K3,0,IF(K19="",INDEX(Φύλλο2!$AZ$171:$AZ$179,9-$F19,1),INDEX(Φύλλο2!$BA$171:$BD$179,9-$F19,K19))),IF($D19=0,IF($AS19=K3,0,IF(AND($AS$19=$AS$20,$AS$20=$AS$21),IF(K19="",INDEX(Φύλλο2!$L$171:$L$179,9-$F19,1),INDEX(Φύλλο2!$M$171:$P$179,9-$F19,K19)),IF(K19="",INDEX(Φύλλο2!$D$171:$D$179,9-$F19,1),INDEX(Φύλλο2!$E$171:$H$179,9-$F19,K19)))))))))),"")</f>
        <v/>
      </c>
      <c r="M19" s="85"/>
      <c r="N19" s="86" t="str">
        <f>IF($F19&lt;&gt;9,IF($D19=1,IF($AS19=M3,0,IF(M19="",INDEX(Φύλλο2!$T$171:$T$179,9-$F19,1),INDEX(Φύλλο2!$U$171:$X$179,9-$F19,M19))),IF($D19=2,IF($AS19=M3,0,IF(M19="",INDEX(Φύλλο2!$AB$171:$AB$179,9-$F19,1),INDEX(Φύλλο2!$AC$171:$AF$179,9-$F19,M19))),IF($D19=3,IF($AS19=M3,0,IF(M19="",INDEX(Φύλλο2!$AJ$171:$AJ$179,9-$F19,1),INDEX(Φύλλο2!$AK$171:$AN$179,9-$F19,M19))),IF($D19=4,IF($AS19=M3,0,IF(M19="",INDEX(Φύλλο2!$AR$171:$AR$179,9-$F19,1),INDEX(Φύλλο2!$AS$171:$AV$179,9-$F19,M19))),IF($D19=5,IF($AS19=M3,0,IF(M19="",INDEX(Φύλλο2!$AZ$171:$AZ$179,9-$F19,1),INDEX(Φύλλο2!$BA$171:$BD$179,9-$F19,M19))),IF($D19=0,IF($AS19=M3,0,IF(AND($AS$19=$AS$20,$AS$20=$AS$21),IF(M19="",INDEX(Φύλλο2!$L$171:$L$179,9-$F19,1),INDEX(Φύλλο2!$M$171:$P$179,9-$F19,M19)),IF(M19="",INDEX(Φύλλο2!$D$171:$D$179,9-$F19,1),INDEX(Φύλλο2!$E$171:$H$179,9-$F19,M19)))))))))),"")</f>
        <v/>
      </c>
      <c r="O19" s="85"/>
      <c r="P19" s="86" t="str">
        <f>IF($F19&lt;&gt;9,IF($D19=1,IF($AS19=O3,0,IF(O19="",INDEX(Φύλλο2!$T$171:$T$179,9-$F19,1),INDEX(Φύλλο2!$U$171:$X$179,9-$F19,O19))),IF($D19=2,IF($AS19=O3,0,IF(O19="",INDEX(Φύλλο2!$AB$171:$AB$179,9-$F19,1),INDEX(Φύλλο2!$AC$171:$AF$179,9-$F19,O19))),IF($D19=3,IF($AS19=O3,0,IF(O19="",INDEX(Φύλλο2!$AJ$171:$AJ$179,9-$F19,1),INDEX(Φύλλο2!$AK$171:$AN$179,9-$F19,O19))),IF($D19=4,IF($AS19=O3,0,IF(O19="",INDEX(Φύλλο2!$AR$171:$AR$179,9-$F19,1),INDEX(Φύλλο2!$AS$171:$AV$179,9-$F19,O19))),IF($D19=5,IF($AS19=O3,0,IF(O19="",INDEX(Φύλλο2!$AZ$171:$AZ$179,9-$F19,1),INDEX(Φύλλο2!$BA$171:$BD$179,9-$F19,O19))),IF($D19=0,IF($AS19=O3,0,IF(AND($AS$19=$AS$20,$AS$20=$AS$21),IF(O19="",INDEX(Φύλλο2!$L$171:$L$179,9-$F19,1),INDEX(Φύλλο2!$M$171:$P$179,9-$F19,O19)),IF(O19="",INDEX(Φύλλο2!$D$171:$D$179,9-$F19,1),INDEX(Φύλλο2!$E$171:$H$179,9-$F19,O19)))))))))),"")</f>
        <v/>
      </c>
      <c r="Q19" s="80"/>
      <c r="R19" s="76" t="str">
        <f>IF($F19&lt;&gt;9,IF($D19=1,IF($AS19=Q3,0,IF(Q19="",INDEX(Φύλλο2!$T$171:$T$179,9-$F19,1),INDEX(Φύλλο2!$U$171:$X$179,9-$F19,Q19))),IF($D19=2,IF($AS19=Q3,0,IF(Q19="",INDEX(Φύλλο2!$AB$171:$AB$179,9-$F19,1),INDEX(Φύλλο2!$AC$171:$AF$179,9-$F19,Q19))),IF($D19=3,IF($AS19=Q3,0,IF(Q19="",INDEX(Φύλλο2!$AJ$171:$AJ$179,9-$F19,1),INDEX(Φύλλο2!$AK$171:$AN$179,9-$F19,Q19))),IF($D19=4,IF($AS19=Q3,0,IF(Q19="",INDEX(Φύλλο2!$AR$171:$AR$179,9-$F19,1),INDEX(Φύλλο2!$AS$171:$AV$179,9-$F19,Q19))),IF($D19=5,IF($AS19=Q3,0,IF(Q19="",INDEX(Φύλλο2!$AZ$171:$AZ$179,9-$F19,1),INDEX(Φύλλο2!$BA$171:$BD$179,9-$F19,Q19))),IF($D19=0,IF($AS19=Q3,0,IF(AND($AS$19=$AS$20,$AS$20=$AS$21),IF(Q19="",INDEX(Φύλλο2!$L$171:$L$179,9-$F19,1),INDEX(Φύλλο2!$M$171:$P$179,9-$F19,Q19)),IF(Q19="",INDEX(Φύλλο2!$D$171:$D$179,9-$F19,1),INDEX(Φύλλο2!$E$171:$H$179,9-$F19,Q19)))))))))),"")</f>
        <v/>
      </c>
      <c r="S19" s="63"/>
      <c r="T19" s="64"/>
      <c r="U19" s="64"/>
      <c r="V19" s="64"/>
      <c r="W19" s="39"/>
      <c r="X19" s="36"/>
      <c r="Y19" s="60">
        <f>IF(G19&lt;&gt;"",RANK(G19,Rank15,0),6)</f>
        <v>6</v>
      </c>
      <c r="Z19" s="60">
        <f>IF(I19&lt;&gt;"",RANK(I19,Rank15,0),6)</f>
        <v>6</v>
      </c>
      <c r="AA19" s="60">
        <f>IF(K19&lt;&gt;"",RANK(K19,Rank15,0),6)</f>
        <v>6</v>
      </c>
      <c r="AB19" s="60">
        <f>IF(M19&lt;&gt;"",RANK(M19,Rank15,0),6)</f>
        <v>6</v>
      </c>
      <c r="AC19" s="60">
        <f>IF(O19&lt;&gt;"",RANK(O19,Rank15,0),6)</f>
        <v>6</v>
      </c>
      <c r="AD19" s="60">
        <f>IF(Q19&lt;&gt;"",RANK(Q19,Rank15,0),6)</f>
        <v>6</v>
      </c>
      <c r="AE19" s="60">
        <f t="shared" si="8"/>
        <v>0</v>
      </c>
      <c r="AF19" s="1">
        <f t="shared" ca="1" si="9"/>
        <v>44454.006083796296</v>
      </c>
      <c r="AG19" s="2">
        <f t="shared" ca="1" si="10"/>
        <v>6.0837962955702096E-3</v>
      </c>
      <c r="AH19">
        <f ca="1">ROUNDDOWN(AG19,8)</f>
        <v>6.0837900000000004E-3</v>
      </c>
      <c r="AI19">
        <f ca="1">AH19/0.00000004</f>
        <v>152094.75</v>
      </c>
      <c r="AJ19" s="2">
        <f t="shared" ca="1" si="11"/>
        <v>0.75</v>
      </c>
      <c r="AK19" s="7">
        <f t="shared" ca="1" si="2"/>
        <v>44452.306083796298</v>
      </c>
      <c r="AL19" s="5">
        <f t="shared" ca="1" si="3"/>
        <v>6.0837962955702096E-3</v>
      </c>
      <c r="AM19" s="6">
        <f t="shared" ca="1" si="4"/>
        <v>6.0800000000000003E-3</v>
      </c>
      <c r="AN19">
        <f t="shared" ca="1" si="5"/>
        <v>304</v>
      </c>
      <c r="AO19" s="2">
        <f t="shared" ca="1" si="6"/>
        <v>0</v>
      </c>
      <c r="AP19" s="36">
        <v>56</v>
      </c>
      <c r="AQ19" s="36" t="str">
        <f t="shared" si="1"/>
        <v/>
      </c>
      <c r="AR19" s="39">
        <f>IF(COUNT(G19,I19,K19,M19,O19,Q19)=0,0,IF(COUNT(G19,I19,K19,M19,O19,Q19)=6,IF(F19=0,68,IF(F19=1,57,IF(F19=2,40,35))),IF(COUNT(G19,I19,K19,M19,O19,Q19)=5,IF(F19=0,57,IF(F19=1,40,IF(F19=2,35,IF(F19=3,29,23)))),IF(COUNT(G19,I19,K19,M19,O19,Q19)=4,IF(F19=0,40,IF(F19=1,35,IF(F19=2,29,IF(F19=3,23,IF(F19=4,17,12))))),IF(COUNT(G19,I19,K19,M19,O19,Q19)=3,IF(F19=0,29,IF(F19=1,23,IF(F19=2,23,IF(F19=3,17,IF(F19=4,12,IF(F19=5,6,0)))))),IF(COUNT(G19,I19,K19,M19,O19,Q19)=2,IF(F19=4,6,IF(F19=5,0,IF(F19=6,-5,IF(F19=7,-11,12)))),IF(COUNT(G19,I19,K19,M19,O19,Q19)=1,IF(F19=5,-5,IF(F19=6,-11,IF(F19=7,-17,IF(F19=8,-22,0)))))))))))</f>
        <v>0</v>
      </c>
      <c r="AS19" s="67" t="str">
        <f>IF(F19&lt;&gt;9,INDEX(S3:X19,1,MATCH(AE19,S19:X19,0)),"-")</f>
        <v>-</v>
      </c>
      <c r="AT19" s="95">
        <f>IF(AQ19="",0,IF(AND(AS19=AS20,AS20=AS21),AQ19+41,AQ19))+AR19</f>
        <v>0</v>
      </c>
      <c r="AZ19" s="3"/>
      <c r="BR19" s="3" t="s">
        <v>5</v>
      </c>
      <c r="BS19">
        <f t="shared" si="12"/>
        <v>200</v>
      </c>
    </row>
    <row r="20" spans="1:76" ht="18.75" x14ac:dyDescent="0.25">
      <c r="A20" s="9">
        <v>16</v>
      </c>
      <c r="B20" s="36">
        <v>260</v>
      </c>
      <c r="C20" s="36">
        <f t="shared" si="0"/>
        <v>0</v>
      </c>
      <c r="D20" s="36"/>
      <c r="E20" s="4">
        <v>150</v>
      </c>
      <c r="F20" s="91">
        <f t="shared" si="7"/>
        <v>9</v>
      </c>
      <c r="G20" s="85"/>
      <c r="H20" s="86" t="str">
        <f>IF($F20&lt;&gt;9,IF($D20=1,IF($AS20=G3,0,IF(G20="",INDEX(Φύλλο2!$T$183:$T$191,9-$F20,1),INDEX(Φύλλο2!$U$183:$X$191,9-$F20,G20))),IF($D20=2,IF($AS20=G3,0,IF(G20="",INDEX(Φύλλο2!$AB$183:$AB$191,9-$F20,1),INDEX(Φύλλο2!$AC$183:$AF$191,9-$F20,G20))),IF($D20=3,IF($AS20=G3,0,IF(G20="",INDEX(Φύλλο2!$AJ$183:$AJ$191,9-$F20,1),INDEX(Φύλλο2!$AK$183:$AN$191,9-$F20,G20))),IF($D20=4,IF($AS20=G3,0,IF(G20="",INDEX(Φύλλο2!$AR$183:$AR$191,9-$F20,1),INDEX(Φύλλο2!$AS$183:$AV$191,9-$F20,G20))),IF($D20=5,IF($AS20=G3,0,IF(G20="",INDEX(Φύλλο2!$AZ$183:$AZ$191,9-$F20,1),INDEX(Φύλλο2!$BA$183:$BD$191,9-$F20,G20))),IF($D20=0,IF($AS20=G3,0,IF(AND($AS$19=$AS$20,$AS$20=$AS$21),IF(G20="",INDEX(Φύλλο2!$L$183:$L$191,9-$F20,1),INDEX(Φύλλο2!$M$183:$P$191,9-$F20,G20)),IF(G20="",INDEX(Φύλλο2!$D$183:$D$191,9-$F20,1),INDEX(Φύλλο2!$E$183:$H$191,9-$F20,G20)))))))))),"")</f>
        <v/>
      </c>
      <c r="I20" s="85"/>
      <c r="J20" s="86" t="str">
        <f>IF($F20&lt;&gt;9,IF($D20=1,IF($AS20=I3,0,IF(I20="",INDEX(Φύλλο2!$T$183:$T$191,9-$F20,1),INDEX(Φύλλο2!$U$183:$X$191,9-$F20,I20))),IF($D20=2,IF($AS20=I3,0,IF(I20="",INDEX(Φύλλο2!$AB$183:$AB$191,9-$F20,1),INDEX(Φύλλο2!$AC$183:$AF$191,9-$F20,I20))),IF($D20=3,IF($AS20=I3,0,IF(I20="",INDEX(Φύλλο2!$AJ$183:$AJ$191,9-$F20,1),INDEX(Φύλλο2!$AK$183:$AN$191,9-$F20,I20))),IF($D20=4,IF($AS20=I3,0,IF(I20="",INDEX(Φύλλο2!$AR$183:$AR$191,9-$F20,1),INDEX(Φύλλο2!$AS$183:$AV$191,9-$F20,I20))),IF($D20=5,IF($AS20=I3,0,IF(I20="",INDEX(Φύλλο2!$AZ$183:$AZ$191,9-$F20,1),INDEX(Φύλλο2!$BA$183:$BD$191,9-$F20,I20))),IF($D20=0,IF($AS20=I3,0,IF(AND($AS$19=$AS$20,$AS$20=$AS$21),IF(I20="",INDEX(Φύλλο2!$L$183:$L$191,9-$F20,1),INDEX(Φύλλο2!$M$183:$P$191,9-$F20,I20)),IF(I20="",INDEX(Φύλλο2!$D$183:$D$191,9-$F20,1),INDEX(Φύλλο2!$E$183:$H$191,9-$F20,I20)))))))))),"")</f>
        <v/>
      </c>
      <c r="K20" s="85"/>
      <c r="L20" s="86" t="str">
        <f>IF($F20&lt;&gt;9,IF($D20=1,IF($AS20=K3,0,IF(K20="",INDEX(Φύλλο2!$T$183:$T$191,9-$F20,1),INDEX(Φύλλο2!$U$183:$X$191,9-$F20,K20))),IF($D20=2,IF($AS20=K3,0,IF(K20="",INDEX(Φύλλο2!$AB$183:$AB$191,9-$F20,1),INDEX(Φύλλο2!$AC$183:$AF$191,9-$F20,K20))),IF($D20=3,IF($AS20=K3,0,IF(K20="",INDEX(Φύλλο2!$AJ$183:$AJ$191,9-$F20,1),INDEX(Φύλλο2!$AK$183:$AN$191,9-$F20,K20))),IF($D20=4,IF($AS20=K3,0,IF(K20="",INDEX(Φύλλο2!$AR$183:$AR$191,9-$F20,1),INDEX(Φύλλο2!$AS$183:$AV$191,9-$F20,K20))),IF($D20=5,IF($AS20=K3,0,IF(K20="",INDEX(Φύλλο2!$AZ$183:$AZ$191,9-$F20,1),INDEX(Φύλλο2!$BA$183:$BD$191,9-$F20,K20))),IF($D20=0,IF($AS20=K3,0,IF(AND($AS$19=$AS$20,$AS$20=$AS$21),IF(K20="",INDEX(Φύλλο2!$L$183:$L$191,9-$F20,1),INDEX(Φύλλο2!$M$183:$P$191,9-$F20,K20)),IF(K20="",INDEX(Φύλλο2!$D$183:$D$191,9-$F20,1),INDEX(Φύλλο2!$E$183:$H$191,9-$F20,K20)))))))))),"")</f>
        <v/>
      </c>
      <c r="M20" s="85"/>
      <c r="N20" s="86" t="str">
        <f>IF($F20&lt;&gt;9,IF($D20=1,IF($AS20=M3,0,IF(M20="",INDEX(Φύλλο2!$T$183:$T$191,9-$F20,1),INDEX(Φύλλο2!$U$183:$X$191,9-$F20,M20))),IF($D20=2,IF($AS20=M3,0,IF(M20="",INDEX(Φύλλο2!$AB$183:$AB$191,9-$F20,1),INDEX(Φύλλο2!$AC$183:$AF$191,9-$F20,M20))),IF($D20=3,IF($AS20=M3,0,IF(M20="",INDEX(Φύλλο2!$AJ$183:$AJ$191,9-$F20,1),INDEX(Φύλλο2!$AK$183:$AN$191,9-$F20,M20))),IF($D20=4,IF($AS20=M3,0,IF(M20="",INDEX(Φύλλο2!$AR$183:$AR$191,9-$F20,1),INDEX(Φύλλο2!$AS$183:$AV$191,9-$F20,M20))),IF($D20=5,IF($AS20=M3,0,IF(M20="",INDEX(Φύλλο2!$AZ$183:$AZ$191,9-$F20,1),INDEX(Φύλλο2!$BA$183:$BD$191,9-$F20,M20))),IF($D20=0,IF($AS20=M3,0,IF(AND($AS$19=$AS$20,$AS$20=$AS$21),IF(M20="",INDEX(Φύλλο2!$L$183:$L$191,9-$F20,1),INDEX(Φύλλο2!$M$183:$P$191,9-$F20,M20)),IF(M20="",INDEX(Φύλλο2!$D$183:$D$191,9-$F20,1),INDEX(Φύλλο2!$E$183:$H$191,9-$F20,M20)))))))))),"")</f>
        <v/>
      </c>
      <c r="O20" s="85"/>
      <c r="P20" s="86" t="str">
        <f>IF($F20&lt;&gt;9,IF($D20=1,IF($AS20=O3,0,IF(O20="",INDEX(Φύλλο2!$T$183:$T$191,9-$F20,1),INDEX(Φύλλο2!$U$183:$X$191,9-$F20,O20))),IF($D20=2,IF($AS20=O3,0,IF(O20="",INDEX(Φύλλο2!$AB$183:$AB$191,9-$F20,1),INDEX(Φύλλο2!$AC$183:$AF$191,9-$F20,O20))),IF($D20=3,IF($AS20=O3,0,IF(O20="",INDEX(Φύλλο2!$AJ$183:$AJ$191,9-$F20,1),INDEX(Φύλλο2!$AK$183:$AN$191,9-$F20,O20))),IF($D20=4,IF($AS20=O3,0,IF(O20="",INDEX(Φύλλο2!$AR$183:$AR$191,9-$F20,1),INDEX(Φύλλο2!$AS$183:$AV$191,9-$F20,O20))),IF($D20=5,IF($AS20=O3,0,IF(O20="",INDEX(Φύλλο2!$AZ$183:$AZ$191,9-$F20,1),INDEX(Φύλλο2!$BA$183:$BD$191,9-$F20,O20))),IF($D20=0,IF($AS20=O3,0,IF(AND($AS$19=$AS$20,$AS$20=$AS$21),IF(O20="",INDEX(Φύλλο2!$L$183:$L$191,9-$F20,1),INDEX(Φύλλο2!$M$183:$P$191,9-$F20,O20)),IF(O20="",INDEX(Φύλλο2!$D$183:$D$191,9-$F20,1),INDEX(Φύλλο2!$E$183:$H$191,9-$F20,O20)))))))))),"")</f>
        <v/>
      </c>
      <c r="Q20" s="80"/>
      <c r="R20" s="76" t="str">
        <f>IF($F20&lt;&gt;9,IF($D20=1,IF($AS20=Q3,0,IF(Q20="",INDEX(Φύλλο2!$T$183:$T$191,9-$F20,1),INDEX(Φύλλο2!$U$183:$X$191,9-$F20,Q20))),IF($D20=2,IF($AS20=Q3,0,IF(Q20="",INDEX(Φύλλο2!$AB$183:$AB$191,9-$F20,1),INDEX(Φύλλο2!$AC$183:$AF$191,9-$F20,Q20))),IF($D20=3,IF($AS20=Q3,0,IF(Q20="",INDEX(Φύλλο2!$AJ$183:$AJ$191,9-$F20,1),INDEX(Φύλλο2!$AK$183:$AN$191,9-$F20,Q20))),IF($D20=4,IF($AS20=Q3,0,IF(Q20="",INDEX(Φύλλο2!$AR$183:$AR$191,9-$F20,1),INDEX(Φύλλο2!$AS$183:$AV$191,9-$F20,Q20))),IF($D20=5,IF($AS20=Q3,0,IF(Q20="",INDEX(Φύλλο2!$AZ$183:$AZ$191,9-$F20,1),INDEX(Φύλλο2!$BA$183:$BD$191,9-$F20,Q20))),IF($D20=0,IF($AS20=Q3,0,IF(AND($AS$19=$AS$20,$AS$20=$AS$21),IF(Q20="",INDEX(Φύλλο2!$L$183:$L$191,9-$F20,1),INDEX(Φύλλο2!$M$183:$P$191,9-$F20,Q20)),IF(Q20="",INDEX(Φύλλο2!$D$183:$D$191,9-$F20,1),INDEX(Φύλλο2!$E$183:$H$191,9-$F20,Q20)))))))))),"")</f>
        <v/>
      </c>
      <c r="S20" s="63"/>
      <c r="T20" s="64"/>
      <c r="U20" s="64"/>
      <c r="V20" s="64"/>
      <c r="W20" s="39"/>
      <c r="X20" s="36"/>
      <c r="Y20" s="60">
        <f>IF(G20&lt;&gt;"",RANK(G20,Rank16,0),6)</f>
        <v>6</v>
      </c>
      <c r="Z20" s="60">
        <f>IF(I20&lt;&gt;"",RANK(I20,Rank16,0),6)</f>
        <v>6</v>
      </c>
      <c r="AA20" s="60">
        <f>IF(K20&lt;&gt;"",RANK(K20,Rank16,0),6)</f>
        <v>6</v>
      </c>
      <c r="AB20" s="60">
        <f>IF(M20&lt;&gt;"",RANK(M20,Rank16,0),6)</f>
        <v>6</v>
      </c>
      <c r="AC20" s="60">
        <f>IF(O20&lt;&gt;"",RANK(O20,Rank16,0),6)</f>
        <v>6</v>
      </c>
      <c r="AD20" s="60">
        <f>IF(Q20&lt;&gt;"",RANK(Q20,Rank16,0),6)</f>
        <v>6</v>
      </c>
      <c r="AE20" s="60">
        <f t="shared" si="8"/>
        <v>0</v>
      </c>
      <c r="AF20" s="1">
        <f t="shared" ca="1" si="9"/>
        <v>44454.006083796296</v>
      </c>
      <c r="AG20" s="2">
        <f t="shared" ca="1" si="10"/>
        <v>6.0837962955702096E-3</v>
      </c>
      <c r="AH20">
        <f ca="1">ROUNDDOWN(AG20,6)</f>
        <v>6.0829999999999999E-3</v>
      </c>
      <c r="AI20">
        <f ca="1">AH20/0.000004</f>
        <v>1520.75</v>
      </c>
      <c r="AJ20" s="2">
        <f t="shared" ca="1" si="11"/>
        <v>0.75</v>
      </c>
      <c r="AK20" s="7">
        <f t="shared" ca="1" si="2"/>
        <v>44452.306083796298</v>
      </c>
      <c r="AL20" s="5">
        <f t="shared" ca="1" si="3"/>
        <v>6.0837962955702096E-3</v>
      </c>
      <c r="AM20" s="6">
        <f t="shared" ca="1" si="4"/>
        <v>6.0800000000000003E-3</v>
      </c>
      <c r="AN20">
        <f t="shared" ca="1" si="5"/>
        <v>304</v>
      </c>
      <c r="AO20" s="2">
        <f t="shared" ca="1" si="6"/>
        <v>0</v>
      </c>
      <c r="AP20" s="36">
        <v>56</v>
      </c>
      <c r="AQ20" s="36" t="str">
        <f t="shared" si="1"/>
        <v/>
      </c>
      <c r="AR20" s="39">
        <f>IF(COUNT(G20,I20,K20,M20,O20,Q20)=0,0,IF(COUNT(G20,I20,K20,M20,O20,Q20)=6,IF(F20=0,68,IF(F20=1,57,IF(F20=2,40,35))),IF(COUNT(G20,I20,K20,M20,O20,Q20)=5,IF(F20=0,57,IF(F20=1,40,IF(F20=2,35,IF(F20=3,29,23)))),IF(COUNT(G20,I20,K20,M20,O20,Q20)=4,IF(F20=0,40,IF(F20=1,35,IF(F20=2,29,IF(F20=3,23,IF(F20=4,17,12))))),IF(COUNT(G20,I20,K20,M20,O20,Q20)=3,IF(F20=0,29,IF(F20=1,23,IF(F20=2,23,IF(F20=3,17,IF(F20=4,12,IF(F20=5,6,0)))))),IF(COUNT(G20,I20,K20,M20,O20,Q20)=2,IF(F20=4,6,IF(F20=5,0,IF(F20=6,-5,IF(F20=7,-11,12)))),IF(COUNT(G20,I20,K20,M20,O20,Q20)=1,IF(F20=5,-5,IF(F20=6,-11,IF(F20=7,-17,IF(F20=8,-22,0)))))))))))</f>
        <v>0</v>
      </c>
      <c r="AS20" s="57" t="str">
        <f>IF(F20&lt;&gt;9,INDEX(S3:X20,1,MATCH(AE20,S20:X20,0)),"-")</f>
        <v>-</v>
      </c>
      <c r="AT20" s="97">
        <f>IF(AQ20="",0,IF(AND(AS19=AS20,AS20=AS21),AQ20+41,AQ20))+AR20</f>
        <v>0</v>
      </c>
      <c r="AZ20" s="3"/>
      <c r="BR20" s="3" t="s">
        <v>26</v>
      </c>
      <c r="BS20">
        <f t="shared" si="12"/>
        <v>200</v>
      </c>
    </row>
    <row r="21" spans="1:76" ht="19.5" thickBot="1" x14ac:dyDescent="0.3">
      <c r="A21" s="25">
        <v>17</v>
      </c>
      <c r="B21" s="35">
        <v>280</v>
      </c>
      <c r="C21" s="35">
        <f t="shared" si="0"/>
        <v>0</v>
      </c>
      <c r="D21" s="35"/>
      <c r="E21" s="20">
        <v>150</v>
      </c>
      <c r="F21" s="90">
        <f t="shared" si="7"/>
        <v>9</v>
      </c>
      <c r="G21" s="83"/>
      <c r="H21" s="84" t="str">
        <f>IF($F21&lt;&gt;9,IF($D21=1,IF($AS21=G3,0,IF(G21="",INDEX(Φύλλο2!$T$195:$T$203,9-$F21,1),INDEX(Φύλλο2!$U$195:$X$203,9-$F21,G21))),IF($D21=2,IF($AS21=G3,0,IF(G21="",INDEX(Φύλλο2!$AB$195:$AB$203,9-$F21,1),INDEX(Φύλλο2!$AC$195:$AF$203,9-$F21,G21))),IF($D21=3,IF($AS21=G3,0,IF(G21="",INDEX(Φύλλο2!$AJ$195:$AJ$203,9-$F21,1),INDEX(Φύλλο2!$AK$195:$AN$203,9-$F21,G21))),IF($D21=4,IF($AS21=G3,0,IF(G21="",INDEX(Φύλλο2!$AR$195:$AR$203,9-$F21,1),INDEX(Φύλλο2!$AS$195:$AV$203,9-$F21,G21))),IF($D21=5,IF($AS21=G3,0,IF(G21="",INDEX(Φύλλο2!$AZ$195:$AZ$203,9-$F21,1),INDEX(Φύλλο2!$BA$195:$BD$203,9-$F21,G21))),IF($D21=0,IF($AS21=G3,0,IF(AND($AS$19=$AS$20,$AS$20=$AS$21),IF(G21="",INDEX(Φύλλο2!$L$195:$L$203,9-$F21,1),INDEX(Φύλλο2!$M$195:$P$203,9-$F21,G21)),IF(G21="",INDEX(Φύλλο2!$D$195:$D$203,9-$F21,1),INDEX(Φύλλο2!$E$195:$H$203,9-$F21,G21)))))))))),"")</f>
        <v/>
      </c>
      <c r="I21" s="83"/>
      <c r="J21" s="84" t="str">
        <f>IF($F21&lt;&gt;9,IF($D21=1,IF($AS21=I3,0,IF(I21="",INDEX(Φύλλο2!$T$195:$T$203,9-$F21,1),INDEX(Φύλλο2!$U$195:$X$203,9-$F21,I21))),IF($D21=2,IF($AS21=I3,0,IF(I21="",INDEX(Φύλλο2!$AB$195:$AB$203,9-$F21,1),INDEX(Φύλλο2!$AC$195:$AF$203,9-$F21,I21))),IF($D21=3,IF($AS21=I3,0,IF(I21="",INDEX(Φύλλο2!$AJ$195:$AJ$203,9-$F21,1),INDEX(Φύλλο2!$AK$195:$AN$203,9-$F21,I21))),IF($D21=4,IF($AS21=I3,0,IF(I21="",INDEX(Φύλλο2!$AR$195:$AR$203,9-$F21,1),INDEX(Φύλλο2!$AS$195:$AV$203,9-$F21,I21))),IF($D21=5,IF($AS21=I3,0,IF(I21="",INDEX(Φύλλο2!$AZ$195:$AZ$203,9-$F21,1),INDEX(Φύλλο2!$BA$195:$BD$203,9-$F21,I21))),IF($D21=0,IF($AS21=I3,0,IF(AND($AS$19=$AS$20,$AS$20=$AS$21),IF(I21="",INDEX(Φύλλο2!$L$195:$L$203,9-$F21,1),INDEX(Φύλλο2!$M$195:$P$203,9-$F21,I21)),IF(I21="",INDEX(Φύλλο2!$D$195:$D$203,9-$F21,1),INDEX(Φύλλο2!$E$195:$H$203,9-$F21,I21)))))))))),"")</f>
        <v/>
      </c>
      <c r="K21" s="83"/>
      <c r="L21" s="84" t="str">
        <f>IF($F21&lt;&gt;9,IF($D21=1,IF($AS21=K3,0,IF(K21="",INDEX(Φύλλο2!$T$195:$T$203,9-$F21,1),INDEX(Φύλλο2!$U$195:$X$203,9-$F21,K21))),IF($D21=2,IF($AS21=K3,0,IF(K21="",INDEX(Φύλλο2!$AB$195:$AB$203,9-$F21,1),INDEX(Φύλλο2!$AC$195:$AF$203,9-$F21,K21))),IF($D21=3,IF($AS21=K3,0,IF(K21="",INDEX(Φύλλο2!$AJ$195:$AJ$203,9-$F21,1),INDEX(Φύλλο2!$AK$195:$AN$203,9-$F21,K21))),IF($D21=4,IF($AS21=K3,0,IF(K21="",INDEX(Φύλλο2!$AR$195:$AR$203,9-$F21,1),INDEX(Φύλλο2!$AS$195:$AV$203,9-$F21,K21))),IF($D21=5,IF($AS21=K3,0,IF(K21="",INDEX(Φύλλο2!$AZ$195:$AZ$203,9-$F21,1),INDEX(Φύλλο2!$BA$195:$BD$203,9-$F21,K21))),IF($D21=0,IF($AS21=K3,0,IF(AND($AS$19=$AS$20,$AS$20=$AS$21),IF(K21="",INDEX(Φύλλο2!$L$195:$L$203,9-$F21,1),INDEX(Φύλλο2!$M$195:$P$203,9-$F21,K21)),IF(K21="",INDEX(Φύλλο2!$D$195:$D$203,9-$F21,1),INDEX(Φύλλο2!$E$195:$H$203,9-$F21,K21)))))))))),"")</f>
        <v/>
      </c>
      <c r="M21" s="83"/>
      <c r="N21" s="84" t="str">
        <f>IF($F21&lt;&gt;9,IF($D21=1,IF($AS21=M3,0,IF(M21="",INDEX(Φύλλο2!$T$195:$T$203,9-$F21,1),INDEX(Φύλλο2!$U$195:$X$203,9-$F21,M21))),IF($D21=2,IF($AS21=M3,0,IF(M21="",INDEX(Φύλλο2!$AB$195:$AB$203,9-$F21,1),INDEX(Φύλλο2!$AC$195:$AF$203,9-$F21,M21))),IF($D21=3,IF($AS21=M3,0,IF(M21="",INDEX(Φύλλο2!$AJ$195:$AJ$203,9-$F21,1),INDEX(Φύλλο2!$AK$195:$AN$203,9-$F21,M21))),IF($D21=4,IF($AS21=M3,0,IF(M21="",INDEX(Φύλλο2!$AR$195:$AR$203,9-$F21,1),INDEX(Φύλλο2!$AS$195:$AV$203,9-$F21,M21))),IF($D21=5,IF($AS21=M3,0,IF(M21="",INDEX(Φύλλο2!$AZ$195:$AZ$203,9-$F21,1),INDEX(Φύλλο2!$BA$195:$BD$203,9-$F21,M21))),IF($D21=0,IF($AS21=M3,0,IF(AND($AS$19=$AS$20,$AS$20=$AS$21),IF(M21="",INDEX(Φύλλο2!$L$195:$L$203,9-$F21,1),INDEX(Φύλλο2!$M$195:$P$203,9-$F21,M21)),IF(M21="",INDEX(Φύλλο2!$D$195:$D$203,9-$F21,1),INDEX(Φύλλο2!$E$195:$H$203,9-$F21,M21)))))))))),"")</f>
        <v/>
      </c>
      <c r="O21" s="83"/>
      <c r="P21" s="84" t="str">
        <f>IF($F21&lt;&gt;9,IF($D21=1,IF($AS21=O3,0,IF(O21="",INDEX(Φύλλο2!$T$195:$T$203,9-$F21,1),INDEX(Φύλλο2!$U$195:$X$203,9-$F21,O21))),IF($D21=2,IF($AS21=O3,0,IF(O21="",INDEX(Φύλλο2!$AB$195:$AB$203,9-$F21,1),INDEX(Φύλλο2!$AC$195:$AF$203,9-$F21,O21))),IF($D21=3,IF($AS21=O3,0,IF(O21="",INDEX(Φύλλο2!$AJ$195:$AJ$203,9-$F21,1),INDEX(Φύλλο2!$AK$195:$AN$203,9-$F21,O21))),IF($D21=4,IF($AS21=O3,0,IF(O21="",INDEX(Φύλλο2!$AR$195:$AR$203,9-$F21,1),INDEX(Φύλλο2!$AS$195:$AV$203,9-$F21,O21))),IF($D21=5,IF($AS21=O3,0,IF(O21="",INDEX(Φύλλο2!$AZ$195:$AZ$203,9-$F21,1),INDEX(Φύλλο2!$BA$195:$BD$203,9-$F21,O21))),IF($D21=0,IF($AS21=O3,0,IF(AND($AS$19=$AS$20,$AS$20=$AS$21),IF(O21="",INDEX(Φύλλο2!$L$195:$L$203,9-$F21,1),INDEX(Φύλλο2!$M$195:$P$203,9-$F21,O21)),IF(O21="",INDEX(Φύλλο2!$D$195:$D$203,9-$F21,1),INDEX(Φύλλο2!$E$195:$H$203,9-$F21,O21)))))))))),"")</f>
        <v/>
      </c>
      <c r="Q21" s="79"/>
      <c r="R21" s="75" t="str">
        <f>IF($F21&lt;&gt;9,IF($D21=1,IF($AS21=Q3,0,IF(Q21="",INDEX(Φύλλο2!$T$195:$T$203,9-$F21,1),INDEX(Φύλλο2!$U$195:$X$203,9-$F21,Q21))),IF($D21=2,IF($AS21=Q3,0,IF(Q21="",INDEX(Φύλλο2!$AB$195:$AB$203,9-$F21,1),INDEX(Φύλλο2!$AC$195:$AF$203,9-$F21,Q21))),IF($D21=3,IF($AS21=Q3,0,IF(Q21="",INDEX(Φύλλο2!$AJ$195:$AJ$203,9-$F21,1),INDEX(Φύλλο2!$AK$195:$AN$203,9-$F21,Q21))),IF($D21=4,IF($AS21=Q3,0,IF(Q21="",INDEX(Φύλλο2!$AR$195:$AR$203,9-$F21,1),INDEX(Φύλλο2!$AS$195:$AV$203,9-$F21,Q21))),IF($D21=5,IF($AS21=Q3,0,IF(Q21="",INDEX(Φύλλο2!$AZ$195:$AZ$203,9-$F21,1),INDEX(Φύλλο2!$BA$195:$BD$203,9-$F21,Q21))),IF($D21=0,IF($AS21=Q3,0,IF(AND($AS$19=$AS$20,$AS$20=$AS$21),IF(Q21="",INDEX(Φύλλο2!$L$195:$L$203,9-$F21,1),INDEX(Φύλλο2!$M$195:$P$203,9-$F21,Q21)),IF(Q21="",INDEX(Φύλλο2!$D$195:$D$203,9-$F21,1),INDEX(Φύλλο2!$E$195:$H$203,9-$F21,Q21)))))))))),"")</f>
        <v/>
      </c>
      <c r="S21" s="70"/>
      <c r="T21" s="69"/>
      <c r="U21" s="69"/>
      <c r="V21" s="69"/>
      <c r="W21" s="38"/>
      <c r="X21" s="35"/>
      <c r="Y21" s="60">
        <f>IF(G21&lt;&gt;"",RANK(G21,Rank17,0),6)</f>
        <v>6</v>
      </c>
      <c r="Z21" s="60">
        <f>IF(I21&lt;&gt;"",RANK(I21,Rank17,0),6)</f>
        <v>6</v>
      </c>
      <c r="AA21" s="60">
        <f>IF(K21&lt;&gt;"",RANK(K21,Rank17,0),6)</f>
        <v>6</v>
      </c>
      <c r="AB21" s="60">
        <f>IF(M21&lt;&gt;"",RANK(M21,Rank17,0),6)</f>
        <v>6</v>
      </c>
      <c r="AC21" s="60">
        <f>IF(O21&lt;&gt;"",RANK(O21,Rank17,0),6)</f>
        <v>6</v>
      </c>
      <c r="AD21" s="60">
        <f>IF(Q21&lt;&gt;"",RANK(Q21,Rank17,0),6)</f>
        <v>6</v>
      </c>
      <c r="AE21" s="60">
        <f t="shared" si="8"/>
        <v>0</v>
      </c>
      <c r="AF21" s="27">
        <f t="shared" ca="1" si="9"/>
        <v>44454.006083796296</v>
      </c>
      <c r="AG21" s="28">
        <f t="shared" ca="1" si="10"/>
        <v>6.0837962955702096E-3</v>
      </c>
      <c r="AH21">
        <f ca="1">ROUNDDOWN(AG21,7)</f>
        <v>6.0837E-3</v>
      </c>
      <c r="AI21">
        <f ca="1">AH21/0.0000004</f>
        <v>15209.25</v>
      </c>
      <c r="AJ21" s="28">
        <f t="shared" ca="1" si="11"/>
        <v>0.25</v>
      </c>
      <c r="AK21" s="29">
        <f t="shared" ca="1" si="2"/>
        <v>44452.306083796298</v>
      </c>
      <c r="AL21" s="30">
        <f t="shared" ca="1" si="3"/>
        <v>6.0837962955702096E-3</v>
      </c>
      <c r="AM21" s="31">
        <f t="shared" ca="1" si="4"/>
        <v>6.0800000000000003E-3</v>
      </c>
      <c r="AN21" s="21">
        <f t="shared" ca="1" si="5"/>
        <v>304</v>
      </c>
      <c r="AO21" s="28">
        <f t="shared" ca="1" si="6"/>
        <v>0</v>
      </c>
      <c r="AP21" s="35">
        <v>61</v>
      </c>
      <c r="AQ21" s="35" t="str">
        <f t="shared" si="1"/>
        <v/>
      </c>
      <c r="AR21" s="38">
        <f>IF(COUNT(G21,I21,K21,M21,O21,Q21)=0,0,IF(COUNT(G21,I21,K21,M21,O21,Q21)=6,IF(F21=0,73,IF(F21=1,61,IF(F21=2,43,37))),IF(COUNT(G21,I21,K21,M21,O21,Q21)=5,IF(F21=0,61,IF(F21=1,43,IF(F21=2,37,IF(F21=3,30,24)))),IF(COUNT(G21,I21,K21,M21,O21,Q21)=4,IF(F21=0,43,IF(F21=1,37,IF(F21=2,30,IF(F21=3,24,IF(F21=4,18,12))))),IF(COUNT(G21,I21,K21,M21,O21,Q21)=3,IF(F21=0,30,IF(F21=1,24,IF(F21=2,24,IF(F21=3,18,IF(F21=4,12,IF(F21=5,6,0)))))),IF(COUNT(G21,I21,K21,M21,O21,Q21)=2,IF(F21=4,6,IF(F21=5,0,IF(F21=6,-6,IF(F21=7,-12,12)))),IF(COUNT(G21,I21,K21,M21,O21,Q21)=1,IF(F21=5,-6,IF(F21=6,-12,IF(F21=7,-19,IF(F21=8,-25,0)))))))))))</f>
        <v>0</v>
      </c>
      <c r="AS21" s="57" t="str">
        <f>IF(F21&lt;&gt;9,INDEX(S3:X21,1,MATCH(AE21,S21:X21,0)),"-")</f>
        <v>-</v>
      </c>
      <c r="AT21" s="96">
        <f>IF(AQ21="",0,IF(AND(AS19=AS20,AS20=AS21),AQ21+44,AQ21))+AR21</f>
        <v>0</v>
      </c>
    </row>
    <row r="22" spans="1:76" ht="19.5" thickTop="1" x14ac:dyDescent="0.25">
      <c r="A22" s="15">
        <v>18</v>
      </c>
      <c r="B22" s="36">
        <v>300</v>
      </c>
      <c r="C22" s="36">
        <f t="shared" si="0"/>
        <v>0</v>
      </c>
      <c r="D22" s="36"/>
      <c r="E22" s="4">
        <v>200</v>
      </c>
      <c r="F22" s="91">
        <f t="shared" si="7"/>
        <v>9</v>
      </c>
      <c r="G22" s="85"/>
      <c r="H22" s="86" t="str">
        <f>IF($F22&lt;&gt;9,IF($D22=1,IF($AS22=G3,0,IF(G22="",INDEX(Φύλλο2!$T$207:$T$215,9-$F22,1),INDEX(Φύλλο2!$U$207:$X$215,9-$F22,G22))),IF($D22=2,IF($AS22=G3,0,IF(G22="",INDEX(Φύλλο2!$AB$207:$AB$215,9-$F22,1),INDEX(Φύλλο2!$AC$207:$AF$215,9-$F22,G22))),IF($D22=3,IF($AS22=G3,0,IF(G22="",INDEX(Φύλλο2!$AJ$207:$AJ$215,9-$F22,1),INDEX(Φύλλο2!$AK$207:$AN$215,9-$F22,G22))),IF($D22=4,IF($AS22=G3,0,IF(G22="",INDEX(Φύλλο2!$AR$207:$AR$215,9-$F22,1),INDEX(Φύλλο2!$AS$207:$AV$215,9-$F22,G22))),IF($D22=5,IF($AS22=G3,0,IF(G22="",INDEX(Φύλλο2!$AZ$207:$AZ$215,9-$F22,1),INDEX(Φύλλο2!$BA$207:$BD$215,9-$F22,G22))),IF($D22=0,IF($AS22=G3,0,IF(AND($AS$22=$AS$23,$AS$23=$AS$24),IF(G22="",INDEX(Φύλλο2!$L$207:$L$215,9-$F22,1),INDEX(Φύλλο2!$M$207:$P$215,9-$F22,G22)),IF(G22="",INDEX(Φύλλο2!$D$207:$D$215,9-$F22,1),INDEX(Φύλλο2!$E$207:$H$215,9-$F22,G22)))))))))),"")</f>
        <v/>
      </c>
      <c r="I22" s="85"/>
      <c r="J22" s="86" t="str">
        <f>IF($F22&lt;&gt;9,IF($D22=1,IF($AS22=I3,0,IF(I22="",INDEX(Φύλλο2!$T$207:$T$215,9-$F22,1),INDEX(Φύλλο2!$U$207:$X$215,9-$F22,I22))),IF($D22=2,IF($AS22=I3,0,IF(I22="",INDEX(Φύλλο2!$AB$207:$AB$215,9-$F22,1),INDEX(Φύλλο2!$AC$207:$AF$215,9-$F22,I22))),IF($D22=3,IF($AS22=I3,0,IF(I22="",INDEX(Φύλλο2!$AJ$207:$AJ$215,9-$F22,1),INDEX(Φύλλο2!$AK$207:$AN$215,9-$F22,I22))),IF($D22=4,IF($AS22=I3,0,IF(I22="",INDEX(Φύλλο2!$AR$207:$AR$215,9-$F22,1),INDEX(Φύλλο2!$AS$207:$AV$215,9-$F22,I22))),IF($D22=5,IF($AS22=I3,0,IF(I22="",INDEX(Φύλλο2!$AZ$207:$AZ$215,9-$F22,1),INDEX(Φύλλο2!$BA$207:$BD$215,9-$F22,I22))),IF($D22=0,IF($AS22=I3,0,IF(AND($AS$22=$AS$23,$AS$23=$AS$24),IF(I22="",INDEX(Φύλλο2!$L$207:$L$215,9-$F22,1),INDEX(Φύλλο2!$M$207:$P$215,9-$F22,I22)),IF(I22="",INDEX(Φύλλο2!$D$207:$D$215,9-$F22,1),INDEX(Φύλλο2!$E$207:$H$215,9-$F22,I22)))))))))),"")</f>
        <v/>
      </c>
      <c r="K22" s="85"/>
      <c r="L22" s="86" t="str">
        <f>IF($F22&lt;&gt;9,IF($D22=1,IF($AS22=K3,0,IF(K22="",INDEX(Φύλλο2!$T$207:$T$215,9-$F22,1),INDEX(Φύλλο2!$U$207:$X$215,9-$F22,K22))),IF($D22=2,IF($AS22=K3,0,IF(K22="",INDEX(Φύλλο2!$AB$207:$AB$215,9-$F22,1),INDEX(Φύλλο2!$AC$207:$AF$215,9-$F22,K22))),IF($D22=3,IF($AS22=K3,0,IF(K22="",INDEX(Φύλλο2!$AJ$207:$AJ$215,9-$F22,1),INDEX(Φύλλο2!$AK$207:$AN$215,9-$F22,K22))),IF($D22=4,IF($AS22=K3,0,IF(K22="",INDEX(Φύλλο2!$AR$207:$AR$215,9-$F22,1),INDEX(Φύλλο2!$AS$207:$AV$215,9-$F22,K22))),IF($D22=5,IF($AS22=K3,0,IF(K22="",INDEX(Φύλλο2!$AZ$207:$AZ$215,9-$F22,1),INDEX(Φύλλο2!$BA$207:$BD$215,9-$F22,K22))),IF($D22=0,IF($AS22=K3,0,IF(AND($AS$22=$AS$23,$AS$23=$AS$24),IF(K22="",INDEX(Φύλλο2!$L$207:$L$215,9-$F22,1),INDEX(Φύλλο2!$M$207:$P$215,9-$F22,K22)),IF(K22="",INDEX(Φύλλο2!$D$207:$D$215,9-$F22,1),INDEX(Φύλλο2!$E$207:$H$215,9-$F22,K22)))))))))),"")</f>
        <v/>
      </c>
      <c r="M22" s="85"/>
      <c r="N22" s="86" t="str">
        <f>IF($F22&lt;&gt;9,IF($D22=1,IF($AS22=M3,0,IF(M22="",INDEX(Φύλλο2!$T$207:$T$215,9-$F22,1),INDEX(Φύλλο2!$U$207:$X$215,9-$F22,M22))),IF($D22=2,IF($AS22=M3,0,IF(M22="",INDEX(Φύλλο2!$AB$207:$AB$215,9-$F22,1),INDEX(Φύλλο2!$AC$207:$AF$215,9-$F22,M22))),IF($D22=3,IF($AS22=M3,0,IF(M22="",INDEX(Φύλλο2!$AJ$207:$AJ$215,9-$F22,1),INDEX(Φύλλο2!$AK$207:$AN$215,9-$F22,M22))),IF($D22=4,IF($AS22=M3,0,IF(M22="",INDEX(Φύλλο2!$AR$207:$AR$215,9-$F22,1),INDEX(Φύλλο2!$AS$207:$AV$215,9-$F22,M22))),IF($D22=5,IF($AS22=M3,0,IF(M22="",INDEX(Φύλλο2!$AZ$207:$AZ$215,9-$F22,1),INDEX(Φύλλο2!$BA$207:$BD$215,9-$F22,M22))),IF($D22=0,IF($AS22=M3,0,IF(AND($AS$22=$AS$23,$AS$23=$AS$24),IF(M22="",INDEX(Φύλλο2!$L$207:$L$215,9-$F22,1),INDEX(Φύλλο2!$M$207:$P$215,9-$F22,M22)),IF(M22="",INDEX(Φύλλο2!$D$207:$D$215,9-$F22,1),INDEX(Φύλλο2!$E$207:$H$215,9-$F22,M22)))))))))),"")</f>
        <v/>
      </c>
      <c r="O22" s="85"/>
      <c r="P22" s="86" t="str">
        <f>IF($F22&lt;&gt;9,IF($D22=1,IF($AS22=O3,0,IF(O22="",INDEX(Φύλλο2!$T$207:$T$215,9-$F22,1),INDEX(Φύλλο2!$U$207:$X$215,9-$F22,O22))),IF($D22=2,IF($AS22=O3,0,IF(O22="",INDEX(Φύλλο2!$AB$207:$AB$215,9-$F22,1),INDEX(Φύλλο2!$AC$207:$AF$215,9-$F22,O22))),IF($D22=3,IF($AS22=O3,0,IF(O22="",INDEX(Φύλλο2!$AJ$207:$AJ$215,9-$F22,1),INDEX(Φύλλο2!$AK$207:$AN$215,9-$F22,O22))),IF($D22=4,IF($AS22=O3,0,IF(O22="",INDEX(Φύλλο2!$AR$207:$AR$215,9-$F22,1),INDEX(Φύλλο2!$AS$207:$AV$215,9-$F22,O22))),IF($D22=5,IF($AS22=O3,0,IF(O22="",INDEX(Φύλλο2!$AZ$207:$AZ$215,9-$F22,1),INDEX(Φύλλο2!$BA$207:$BD$215,9-$F22,O22))),IF($D22=0,IF($AS22=O3,0,IF(AND($AS$22=$AS$23,$AS$23=$AS$24),IF(O22="",INDEX(Φύλλο2!$L$207:$L$215,9-$F22,1),INDEX(Φύλλο2!$M$207:$P$215,9-$F22,O22)),IF(O22="",INDEX(Φύλλο2!$D$207:$D$215,9-$F22,1),INDEX(Φύλλο2!$E$207:$H$215,9-$F22,O22)))))))))),"")</f>
        <v/>
      </c>
      <c r="Q22" s="80"/>
      <c r="R22" s="76" t="str">
        <f>IF($F22&lt;&gt;9,IF($D22=1,IF($AS22=Q3,0,IF(Q22="",INDEX(Φύλλο2!$T$207:$T$215,9-$F22,1),INDEX(Φύλλο2!$U$207:$X$215,9-$F22,Q22))),IF($D22=2,IF($AS22=Q3,0,IF(Q22="",INDEX(Φύλλο2!$AB$207:$AB$215,9-$F22,1),INDEX(Φύλλο2!$AC$207:$AF$215,9-$F22,Q22))),IF($D22=3,IF($AS22=Q3,0,IF(Q22="",INDEX(Φύλλο2!$AJ$207:$AJ$215,9-$F22,1),INDEX(Φύλλο2!$AK$207:$AN$215,9-$F22,Q22))),IF($D22=4,IF($AS22=Q3,0,IF(Q22="",INDEX(Φύλλο2!$AR$207:$AR$215,9-$F22,1),INDEX(Φύλλο2!$AS$207:$AV$215,9-$F22,Q22))),IF($D22=5,IF($AS22=Q3,0,IF(Q22="",INDEX(Φύλλο2!$AZ$207:$AZ$215,9-$F22,1),INDEX(Φύλλο2!$BA$207:$BD$215,9-$F22,Q22))),IF($D22=0,IF($AS22=Q3,0,IF(AND($AS$22=$AS$23,$AS$23=$AS$24),IF(Q22="",INDEX(Φύλλο2!$L$207:$L$215,9-$F22,1),INDEX(Φύλλο2!$M$207:$P$215,9-$F22,Q22)),IF(Q22="",INDEX(Φύλλο2!$D$207:$D$215,9-$F22,1),INDEX(Φύλλο2!$E$207:$H$215,9-$F22,Q22)))))))))),"")</f>
        <v/>
      </c>
      <c r="S22" s="63"/>
      <c r="T22" s="64"/>
      <c r="U22" s="64"/>
      <c r="V22" s="64"/>
      <c r="W22" s="39"/>
      <c r="X22" s="36"/>
      <c r="Y22" s="60">
        <f>IF(G22&lt;&gt;"",RANK(G22,Rank18,0),6)</f>
        <v>6</v>
      </c>
      <c r="Z22" s="60">
        <f>IF(I22&lt;&gt;"",RANK(I22,Rank18,0),6)</f>
        <v>6</v>
      </c>
      <c r="AA22" s="60">
        <f>IF(K22&lt;&gt;"",RANK(K22,Rank18,0),6)</f>
        <v>6</v>
      </c>
      <c r="AB22" s="60">
        <f>IF(M22&lt;&gt;"",RANK(M22,Rank18,0),6)</f>
        <v>6</v>
      </c>
      <c r="AC22" s="60">
        <f>IF(O22&lt;&gt;"",RANK(O22,Rank18,0),6)</f>
        <v>6</v>
      </c>
      <c r="AD22" s="60">
        <f>IF(Q22&lt;&gt;"",RANK(Q22,Rank18,0),6)</f>
        <v>6</v>
      </c>
      <c r="AE22" s="60">
        <f t="shared" si="8"/>
        <v>0</v>
      </c>
      <c r="AF22" s="1">
        <f t="shared" ca="1" si="9"/>
        <v>44454.006083796296</v>
      </c>
      <c r="AG22" s="2">
        <f t="shared" ca="1" si="10"/>
        <v>6.0837962955702096E-3</v>
      </c>
      <c r="AH22">
        <f ca="1">ROUNDDOWN(AG22,8)</f>
        <v>6.0837900000000004E-3</v>
      </c>
      <c r="AI22">
        <f ca="1">AH22/0.00000004</f>
        <v>152094.75</v>
      </c>
      <c r="AJ22" s="2">
        <f t="shared" ca="1" si="11"/>
        <v>0.75</v>
      </c>
      <c r="AK22" s="7">
        <f t="shared" ca="1" si="2"/>
        <v>44452.306083796298</v>
      </c>
      <c r="AL22" s="5">
        <f t="shared" ca="1" si="3"/>
        <v>6.0837962955702096E-3</v>
      </c>
      <c r="AM22" s="6">
        <f t="shared" ca="1" si="4"/>
        <v>6.0800000000000003E-3</v>
      </c>
      <c r="AN22">
        <f t="shared" ca="1" si="5"/>
        <v>304</v>
      </c>
      <c r="AO22" s="2">
        <f t="shared" ca="1" si="6"/>
        <v>0</v>
      </c>
      <c r="AP22" s="36">
        <v>65</v>
      </c>
      <c r="AQ22" s="36" t="str">
        <f t="shared" si="1"/>
        <v/>
      </c>
      <c r="AR22" s="39">
        <f>IF(COUNT(G22,I22,K22,M22,O22,Q22)=0,0,IF(COUNT(G22,I22,K22,M22,O22,Q22)=6,IF(F22=0,78,IF(F22=1,66,IF(F22=2,46,40))),IF(COUNT(G22,I22,K22,M22,O22,Q22)=5,IF(F22=0,66,IF(F22=1,46,IF(F22=2,40,IF(F22=3,33,26)))),IF(COUNT(G22,I22,K22,M22,O22,Q22)=4,IF(F22=0,46,IF(F22=1,40,IF(F22=2,33,IF(F22=3,26,IF(F22=4,20,13))))),IF(COUNT(G22,I22,K22,M22,O22,Q22)=3,IF(F22=0,33,IF(F22=1,26,IF(F22=2,26,IF(F22=3,20,IF(F22=4,13,IF(F22=5,7,0)))))),IF(COUNT(G22,I22,K22,M22,O22,Q22)=2,IF(F22=4,7,IF(F22=5,0,IF(F22=6,-6,IF(F22=7,-13,13)))),IF(COUNT(G22,I22,K22,M22,O22,Q22)=1,IF(F22=5,-6,IF(F22=6,-13,IF(F22=7,-20,IF(F22=8,-26,0)))))))))))</f>
        <v>0</v>
      </c>
      <c r="AS22" s="67" t="str">
        <f>IF(F22&lt;&gt;9,INDEX(S3:X22,1,MATCH(AE22,S22:X22,0)),"-")</f>
        <v>-</v>
      </c>
      <c r="AT22" s="95">
        <f>IF(AQ22="",0,IF(AND(AS22=AS23,AS23=AS24),AQ22+47,AQ22))+AR22</f>
        <v>0</v>
      </c>
      <c r="BR22" s="4"/>
      <c r="BS22" s="3" t="s">
        <v>1</v>
      </c>
      <c r="BT22" s="3" t="s">
        <v>2</v>
      </c>
      <c r="BU22" s="3" t="s">
        <v>3</v>
      </c>
      <c r="BV22" s="3" t="s">
        <v>4</v>
      </c>
      <c r="BW22" s="3" t="s">
        <v>5</v>
      </c>
      <c r="BX22" s="3" t="s">
        <v>26</v>
      </c>
    </row>
    <row r="23" spans="1:76" ht="18.75" x14ac:dyDescent="0.25">
      <c r="A23" s="15">
        <v>19</v>
      </c>
      <c r="B23" s="36">
        <v>300</v>
      </c>
      <c r="C23" s="36">
        <f t="shared" si="0"/>
        <v>0</v>
      </c>
      <c r="D23" s="36"/>
      <c r="E23" s="4">
        <v>200</v>
      </c>
      <c r="F23" s="91">
        <f t="shared" si="7"/>
        <v>9</v>
      </c>
      <c r="G23" s="85"/>
      <c r="H23" s="86" t="str">
        <f>IF($F23&lt;&gt;9,IF($D23=1,IF($AS23=G3,0,IF(G23="",INDEX(Φύλλο2!$T$219:$T$227,9-$F23,1),INDEX(Φύλλο2!$U$219:$X$227,9-$F23,G23))),IF($D23=2,IF($AS23=G3,0,IF(G23="",INDEX(Φύλλο2!$AB$219:$AB$227,9-$F23,1),INDEX(Φύλλο2!$AC$219:$AF$227,9-$F23,G23))),IF($D23=3,IF($AS23=G3,0,IF(G23="",INDEX(Φύλλο2!$AJ$219:$AJ$227,9-$F23,1),INDEX(Φύλλο2!$AK$219:$AN$227,9-$F23,G23))),IF($D23=4,IF($AS23=G3,0,IF(G23="",INDEX(Φύλλο2!$AR$219:$AR$227,9-$F23,1),INDEX(Φύλλο2!$AS$219:$AV$227,9-$F23,G23))),IF($D23=5,IF($AS23=G3,0,IF(G23="",INDEX(Φύλλο2!$AZ$219:$AZ$227,9-$F23,1),INDEX(Φύλλο2!$BA$219:$BD$227,9-$F23,G23))),IF($D23=0,IF($AS23=G3,0,IF(AND($AS$22=$AS$23,$AS$23=$AS$24),IF(G23="",INDEX(Φύλλο2!$L$219:$L$227,9-$F23,1),INDEX(Φύλλο2!$M$219:$P$227,9-$F23,G23)),IF(G23="",INDEX(Φύλλο2!$D$219:$D$227,9-$F23,1),INDEX(Φύλλο2!$E$219:$H$227,9-$F23,G23)))))))))),"")</f>
        <v/>
      </c>
      <c r="I23" s="85"/>
      <c r="J23" s="86" t="str">
        <f>IF($F23&lt;&gt;9,IF($D23=1,IF($AS23=I3,0,IF(I23="",INDEX(Φύλλο2!$T$219:$T$227,9-$F23,1),INDEX(Φύλλο2!$U$219:$X$227,9-$F23,I23))),IF($D23=2,IF($AS23=I3,0,IF(I23="",INDEX(Φύλλο2!$AB$219:$AB$227,9-$F23,1),INDEX(Φύλλο2!$AC$219:$AF$227,9-$F23,I23))),IF($D23=3,IF($AS23=I3,0,IF(I23="",INDEX(Φύλλο2!$AJ$219:$AJ$227,9-$F23,1),INDEX(Φύλλο2!$AK$219:$AN$227,9-$F23,I23))),IF($D23=4,IF($AS23=I3,0,IF(I23="",INDEX(Φύλλο2!$AR$219:$AR$227,9-$F23,1),INDEX(Φύλλο2!$AS$219:$AV$227,9-$F23,I23))),IF($D23=5,IF($AS23=I3,0,IF(I23="",INDEX(Φύλλο2!$AZ$219:$AZ$227,9-$F23,1),INDEX(Φύλλο2!$BA$219:$BD$227,9-$F23,I23))),IF($D23=0,IF($AS23=I3,0,IF(AND($AS$22=$AS$23,$AS$23=$AS$24),IF(I23="",INDEX(Φύλλο2!$L$219:$L$227,9-$F23,1),INDEX(Φύλλο2!$M$219:$P$227,9-$F23,I23)),IF(I23="",INDEX(Φύλλο2!$D$219:$D$227,9-$F23,1),INDEX(Φύλλο2!$E$219:$H$227,9-$F23,I23)))))))))),"")</f>
        <v/>
      </c>
      <c r="K23" s="85"/>
      <c r="L23" s="86" t="str">
        <f>IF($F23&lt;&gt;9,IF($D23=1,IF($AS23=K3,0,IF(K23="",INDEX(Φύλλο2!$T$219:$T$227,9-$F23,1),INDEX(Φύλλο2!$U$219:$X$227,9-$F23,K23))),IF($D23=2,IF($AS23=K3,0,IF(K23="",INDEX(Φύλλο2!$AB$219:$AB$227,9-$F23,1),INDEX(Φύλλο2!$AC$219:$AF$227,9-$F23,K23))),IF($D23=3,IF($AS23=K3,0,IF(K23="",INDEX(Φύλλο2!$AJ$219:$AJ$227,9-$F23,1),INDEX(Φύλλο2!$AK$219:$AN$227,9-$F23,K23))),IF($D23=4,IF($AS23=K3,0,IF(K23="",INDEX(Φύλλο2!$AR$219:$AR$227,9-$F23,1),INDEX(Φύλλο2!$AS$219:$AV$227,9-$F23,K23))),IF($D23=5,IF($AS23=K3,0,IF(K23="",INDEX(Φύλλο2!$AZ$219:$AZ$227,9-$F23,1),INDEX(Φύλλο2!$BA$219:$BD$227,9-$F23,K23))),IF($D23=0,IF($AS23=K3,0,IF(AND($AS$22=$AS$23,$AS$23=$AS$24),IF(K23="",INDEX(Φύλλο2!$L$219:$L$227,9-$F23,1),INDEX(Φύλλο2!$M$219:$P$227,9-$F23,K23)),IF(K23="",INDEX(Φύλλο2!$D$219:$D$227,9-$F23,1),INDEX(Φύλλο2!$E$219:$H$227,9-$F23,K23)))))))))),"")</f>
        <v/>
      </c>
      <c r="M23" s="85"/>
      <c r="N23" s="86" t="str">
        <f>IF($F23&lt;&gt;9,IF($D23=1,IF($AS23=M3,0,IF(M23="",INDEX(Φύλλο2!$T$219:$T$227,9-$F23,1),INDEX(Φύλλο2!$U$219:$X$227,9-$F23,M23))),IF($D23=2,IF($AS23=M3,0,IF(M23="",INDEX(Φύλλο2!$AB$219:$AB$227,9-$F23,1),INDEX(Φύλλο2!$AC$219:$AF$227,9-$F23,M23))),IF($D23=3,IF($AS23=M3,0,IF(M23="",INDEX(Φύλλο2!$AJ$219:$AJ$227,9-$F23,1),INDEX(Φύλλο2!$AK$219:$AN$227,9-$F23,M23))),IF($D23=4,IF($AS23=M3,0,IF(M23="",INDEX(Φύλλο2!$AR$219:$AR$227,9-$F23,1),INDEX(Φύλλο2!$AS$219:$AV$227,9-$F23,M23))),IF($D23=5,IF($AS23=M3,0,IF(M23="",INDEX(Φύλλο2!$AZ$219:$AZ$227,9-$F23,1),INDEX(Φύλλο2!$BA$219:$BD$227,9-$F23,M23))),IF($D23=0,IF($AS23=M3,0,IF(AND($AS$22=$AS$23,$AS$23=$AS$24),IF(M23="",INDEX(Φύλλο2!$L$219:$L$227,9-$F23,1),INDEX(Φύλλο2!$M$219:$P$227,9-$F23,M23)),IF(M23="",INDEX(Φύλλο2!$D$219:$D$227,9-$F23,1),INDEX(Φύλλο2!$E$219:$H$227,9-$F23,M23)))))))))),"")</f>
        <v/>
      </c>
      <c r="O23" s="85"/>
      <c r="P23" s="86" t="str">
        <f>IF($F23&lt;&gt;9,IF($D23=1,IF($AS23=O3,0,IF(O23="",INDEX(Φύλλο2!$T$219:$T$227,9-$F23,1),INDEX(Φύλλο2!$U$219:$X$227,9-$F23,O23))),IF($D23=2,IF($AS23=O3,0,IF(O23="",INDEX(Φύλλο2!$AB$219:$AB$227,9-$F23,1),INDEX(Φύλλο2!$AC$219:$AF$227,9-$F23,O23))),IF($D23=3,IF($AS23=O3,0,IF(O23="",INDEX(Φύλλο2!$AJ$219:$AJ$227,9-$F23,1),INDEX(Φύλλο2!$AK$219:$AN$227,9-$F23,O23))),IF($D23=4,IF($AS23=O3,0,IF(O23="",INDEX(Φύλλο2!$AR$219:$AR$227,9-$F23,1),INDEX(Φύλλο2!$AS$219:$AV$227,9-$F23,O23))),IF($D23=5,IF($AS23=O3,0,IF(O23="",INDEX(Φύλλο2!$AZ$219:$AZ$227,9-$F23,1),INDEX(Φύλλο2!$BA$219:$BD$227,9-$F23,O23))),IF($D23=0,IF($AS23=O3,0,IF(AND($AS$22=$AS$23,$AS$23=$AS$24),IF(O23="",INDEX(Φύλλο2!$L$219:$L$227,9-$F23,1),INDEX(Φύλλο2!$M$219:$P$227,9-$F23,O23)),IF(O23="",INDEX(Φύλλο2!$D$219:$D$227,9-$F23,1),INDEX(Φύλλο2!$E$219:$H$227,9-$F23,O23)))))))))),"")</f>
        <v/>
      </c>
      <c r="Q23" s="80"/>
      <c r="R23" s="76" t="str">
        <f>IF($F23&lt;&gt;9,IF($D23=1,IF($AS23=Q3,0,IF(Q23="",INDEX(Φύλλο2!$T$219:$T$227,9-$F23,1),INDEX(Φύλλο2!$U$219:$X$227,9-$F23,Q23))),IF($D23=2,IF($AS23=Q3,0,IF(Q23="",INDEX(Φύλλο2!$AB$219:$AB$227,9-$F23,1),INDEX(Φύλλο2!$AC$219:$AF$227,9-$F23,Q23))),IF($D23=3,IF($AS23=Q3,0,IF(Q23="",INDEX(Φύλλο2!$AJ$219:$AJ$227,9-$F23,1),INDEX(Φύλλο2!$AK$219:$AN$227,9-$F23,Q23))),IF($D23=4,IF($AS23=Q3,0,IF(Q23="",INDEX(Φύλλο2!$AR$219:$AR$227,9-$F23,1),INDEX(Φύλλο2!$AS$219:$AV$227,9-$F23,Q23))),IF($D23=5,IF($AS23=Q3,0,IF(Q23="",INDEX(Φύλλο2!$AZ$219:$AZ$227,9-$F23,1),INDEX(Φύλλο2!$BA$219:$BD$227,9-$F23,Q23))),IF($D23=0,IF($AS23=Q3,0,IF(AND($AS$22=$AS$23,$AS$23=$AS$24),IF(Q23="",INDEX(Φύλλο2!$L$219:$L$227,9-$F23,1),INDEX(Φύλλο2!$M$219:$P$227,9-$F23,Q23)),IF(Q23="",INDEX(Φύλλο2!$D$219:$D$227,9-$F23,1),INDEX(Φύλλο2!$E$219:$H$227,9-$F23,Q23)))))))))),"")</f>
        <v/>
      </c>
      <c r="S23" s="63"/>
      <c r="T23" s="64"/>
      <c r="U23" s="64"/>
      <c r="V23" s="64"/>
      <c r="W23" s="39"/>
      <c r="X23" s="36"/>
      <c r="Y23" s="60">
        <f>IF(G23&lt;&gt;"",RANK(G23,Rank19,0),6)</f>
        <v>6</v>
      </c>
      <c r="Z23" s="60">
        <f>IF(I23&lt;&gt;"",RANK(I23,Rank19,0),6)</f>
        <v>6</v>
      </c>
      <c r="AA23" s="60">
        <f>IF(K23&lt;&gt;"",RANK(K23,Rank19,0),6)</f>
        <v>6</v>
      </c>
      <c r="AB23" s="60">
        <f>IF(M23&lt;&gt;"",RANK(M23,Rank19,0),6)</f>
        <v>6</v>
      </c>
      <c r="AC23" s="60">
        <f>IF(O23&lt;&gt;"",RANK(O23,Rank19,0),6)</f>
        <v>6</v>
      </c>
      <c r="AD23" s="60">
        <f>IF(Q23&lt;&gt;"",RANK(Q23,Rank19,0),6)</f>
        <v>6</v>
      </c>
      <c r="AE23" s="60">
        <f t="shared" si="8"/>
        <v>0</v>
      </c>
      <c r="AF23" s="1">
        <f t="shared" ca="1" si="9"/>
        <v>44454.006083796296</v>
      </c>
      <c r="AG23" s="2">
        <f t="shared" ca="1" si="10"/>
        <v>6.0837962955702096E-3</v>
      </c>
      <c r="AH23">
        <f ca="1">ROUNDDOWN(AG23,6)</f>
        <v>6.0829999999999999E-3</v>
      </c>
      <c r="AI23">
        <f ca="1">AH23/0.000004</f>
        <v>1520.75</v>
      </c>
      <c r="AJ23" s="2">
        <f t="shared" ca="1" si="11"/>
        <v>0.75</v>
      </c>
      <c r="AK23" s="7">
        <f t="shared" ca="1" si="2"/>
        <v>44452.306083796298</v>
      </c>
      <c r="AL23" s="5">
        <f t="shared" ca="1" si="3"/>
        <v>6.0837962955702096E-3</v>
      </c>
      <c r="AM23" s="6">
        <f t="shared" ca="1" si="4"/>
        <v>6.0800000000000003E-3</v>
      </c>
      <c r="AN23">
        <f t="shared" ca="1" si="5"/>
        <v>304</v>
      </c>
      <c r="AO23" s="2">
        <f t="shared" ca="1" si="6"/>
        <v>0</v>
      </c>
      <c r="AP23" s="36">
        <v>65</v>
      </c>
      <c r="AQ23" s="36" t="str">
        <f t="shared" si="1"/>
        <v/>
      </c>
      <c r="AR23" s="39">
        <f>IF(COUNT(G23,I23,K23,M23,O23,Q23)=0,0,IF(COUNT(G23,I23,K23,M23,O23,Q23)=6,IF(F23=0,78,IF(F23=1,66,IF(F23=2,46,40))),IF(COUNT(G23,I23,K23,M23,O23,Q23)=5,IF(F23=0,66,IF(F23=1,46,IF(F23=2,40,IF(F23=3,33,26)))),IF(COUNT(G23,I23,K23,M23,O23,Q23)=4,IF(F23=0,46,IF(F23=1,40,IF(F23=2,33,IF(F23=3,26,IF(F23=4,20,13))))),IF(COUNT(G23,I23,K23,M23,O23,Q23)=3,IF(F23=0,33,IF(F23=1,26,IF(F23=2,26,IF(F23=3,20,IF(F23=4,13,IF(F23=5,7,0)))))),IF(COUNT(G23,I23,K23,M23,O23,Q23)=2,IF(F23=4,7,IF(F23=5,0,IF(F23=6,-6,IF(F23=7,-13,13)))),IF(COUNT(G23,I23,K23,M23,O23,Q23)=1,IF(F23=5,-6,IF(F23=6,-13,IF(F23=7,-20,IF(F23=8,-26,0)))))))))))</f>
        <v>0</v>
      </c>
      <c r="AS23" s="57" t="str">
        <f>IF(F23&lt;&gt;9,INDEX(S3:X23,1,MATCH(AE23,S23:X23,0)),"-")</f>
        <v>-</v>
      </c>
      <c r="AT23" s="97">
        <f>IF(AQ23="",0,IF(AND(AS22=AS23,AS23=AS24),AQ23+47,AQ23))+AR23</f>
        <v>0</v>
      </c>
      <c r="BR23" s="4"/>
      <c r="BS23" s="3">
        <v>1</v>
      </c>
      <c r="BT23" s="3">
        <v>2</v>
      </c>
      <c r="BU23" s="3">
        <v>3</v>
      </c>
      <c r="BV23" s="3">
        <v>4</v>
      </c>
      <c r="BW23" s="3">
        <v>5</v>
      </c>
      <c r="BX23" s="3">
        <v>6</v>
      </c>
    </row>
    <row r="24" spans="1:76" ht="19.5" thickBot="1" x14ac:dyDescent="0.3">
      <c r="A24" s="26">
        <v>20</v>
      </c>
      <c r="B24" s="35">
        <v>320</v>
      </c>
      <c r="C24" s="35">
        <f t="shared" si="0"/>
        <v>0</v>
      </c>
      <c r="D24" s="35"/>
      <c r="E24" s="20">
        <v>200</v>
      </c>
      <c r="F24" s="90">
        <f t="shared" si="7"/>
        <v>9</v>
      </c>
      <c r="G24" s="83"/>
      <c r="H24" s="84" t="str">
        <f>IF($F24&lt;&gt;9,IF($D24=1,IF($AS24=G3,0,IF(G24="",INDEX(Φύλλο2!$T$231:$T$239,9-$F24,1),INDEX(Φύλλο2!$U$231:$X$239,9-$F24,G24))),IF($D24=2,IF($AS24=G3,0,IF(G24="",INDEX(Φύλλο2!$AB$231:$AB$239,9-$F24,1),INDEX(Φύλλο2!$AC$231:$AF$239,9-$F24,G24))),IF($D24=3,IF($AS24=G3,0,IF(G24="",INDEX(Φύλλο2!$AJ$231:$AJ$239,9-$F24,1),INDEX(Φύλλο2!$AK$231:$AN$239,9-$F24,G24))),IF($D24=4,IF($AS24=G3,0,IF(G24="",INDEX(Φύλλο2!$AR$231:$AR$239,9-$F24,1),INDEX(Φύλλο2!$AS$231:$AV$239,9-$F24,G24))),IF($D24=5,IF($AS24=G3,0,IF(G24="",INDEX(Φύλλο2!$AZ$231:$AZ$239,9-$F24,1),INDEX(Φύλλο2!$BA$231:$BD$239,9-$F24,G24))),IF($D24=0,IF($AS24=G3,0,IF(AND($AS$22=$AS$23,$AS$23=$AS$24),IF(G24="",INDEX(Φύλλο2!$L$231:$L$239,9-$F24,1),INDEX(Φύλλο2!$M$231:$P$239,9-$F24,G24)),IF(G24="",INDEX(Φύλλο2!$D$231:$D$239,9-$F24,1),INDEX(Φύλλο2!$E$231:$H$239,9-$F24,G24)))))))))),"")</f>
        <v/>
      </c>
      <c r="I24" s="83"/>
      <c r="J24" s="84" t="str">
        <f>IF($F24&lt;&gt;9,IF($D24=1,IF($AS24=I3,0,IF(I24="",INDEX(Φύλλο2!$T$231:$T$239,9-$F24,1),INDEX(Φύλλο2!$U$231:$X$239,9-$F24,I24))),IF($D24=2,IF($AS24=I3,0,IF(I24="",INDEX(Φύλλο2!$AB$231:$AB$239,9-$F24,1),INDEX(Φύλλο2!$AC$231:$AF$239,9-$F24,I24))),IF($D24=3,IF($AS24=I3,0,IF(I24="",INDEX(Φύλλο2!$AJ$231:$AJ$239,9-$F24,1),INDEX(Φύλλο2!$AK$231:$AN$239,9-$F24,I24))),IF($D24=4,IF($AS24=I3,0,IF(I24="",INDEX(Φύλλο2!$AR$231:$AR$239,9-$F24,1),INDEX(Φύλλο2!$AS$231:$AV$239,9-$F24,I24))),IF($D24=5,IF($AS24=I3,0,IF(I24="",INDEX(Φύλλο2!$AZ$231:$AZ$239,9-$F24,1),INDEX(Φύλλο2!$BA$231:$BD$239,9-$F24,I24))),IF($D24=0,IF($AS24=I3,0,IF(AND($AS$22=$AS$23,$AS$23=$AS$24),IF(I24="",INDEX(Φύλλο2!$L$231:$L$239,9-$F24,1),INDEX(Φύλλο2!$M$231:$P$239,9-$F24,I24)),IF(I24="",INDEX(Φύλλο2!$D$231:$D$239,9-$F24,1),INDEX(Φύλλο2!$E$231:$H$239,9-$F24,I24)))))))))),"")</f>
        <v/>
      </c>
      <c r="K24" s="83"/>
      <c r="L24" s="84" t="str">
        <f>IF($F24&lt;&gt;9,IF($D24=1,IF($AS24=K3,0,IF(K24="",INDEX(Φύλλο2!$T$231:$T$239,9-$F24,1),INDEX(Φύλλο2!$U$231:$X$239,9-$F24,K24))),IF($D24=2,IF($AS24=K3,0,IF(K24="",INDEX(Φύλλο2!$AB$231:$AB$239,9-$F24,1),INDEX(Φύλλο2!$AC$231:$AF$239,9-$F24,K24))),IF($D24=3,IF($AS24=K3,0,IF(K24="",INDEX(Φύλλο2!$AJ$231:$AJ$239,9-$F24,1),INDEX(Φύλλο2!$AK$231:$AN$239,9-$F24,K24))),IF($D24=4,IF($AS24=K3,0,IF(K24="",INDEX(Φύλλο2!$AR$231:$AR$239,9-$F24,1),INDEX(Φύλλο2!$AS$231:$AV$239,9-$F24,K24))),IF($D24=5,IF($AS24=K3,0,IF(K24="",INDEX(Φύλλο2!$AZ$231:$AZ$239,9-$F24,1),INDEX(Φύλλο2!$BA$231:$BD$239,9-$F24,K24))),IF($D24=0,IF($AS24=K3,0,IF(AND($AS$22=$AS$23,$AS$23=$AS$24),IF(K24="",INDEX(Φύλλο2!$L$231:$L$239,9-$F24,1),INDEX(Φύλλο2!$M$231:$P$239,9-$F24,K24)),IF(K24="",INDEX(Φύλλο2!$D$231:$D$239,9-$F24,1),INDEX(Φύλλο2!$E$231:$H$239,9-$F24,K24)))))))))),"")</f>
        <v/>
      </c>
      <c r="M24" s="83"/>
      <c r="N24" s="84" t="str">
        <f>IF($F24&lt;&gt;9,IF($D24=1,IF($AS24=M3,0,IF(M24="",INDEX(Φύλλο2!$T$231:$T$239,9-$F24,1),INDEX(Φύλλο2!$U$231:$X$239,9-$F24,M24))),IF($D24=2,IF($AS24=M3,0,IF(M24="",INDEX(Φύλλο2!$AB$231:$AB$239,9-$F24,1),INDEX(Φύλλο2!$AC$231:$AF$239,9-$F24,M24))),IF($D24=3,IF($AS24=M3,0,IF(M24="",INDEX(Φύλλο2!$AJ$231:$AJ$239,9-$F24,1),INDEX(Φύλλο2!$AK$231:$AN$239,9-$F24,M24))),IF($D24=4,IF($AS24=M3,0,IF(M24="",INDEX(Φύλλο2!$AR$231:$AR$239,9-$F24,1),INDEX(Φύλλο2!$AS$231:$AV$239,9-$F24,M24))),IF($D24=5,IF($AS24=M3,0,IF(M24="",INDEX(Φύλλο2!$AZ$231:$AZ$239,9-$F24,1),INDEX(Φύλλο2!$BA$231:$BD$239,9-$F24,M24))),IF($D24=0,IF($AS24=M3,0,IF(AND($AS$22=$AS$23,$AS$23=$AS$24),IF(M24="",INDEX(Φύλλο2!$L$231:$L$239,9-$F24,1),INDEX(Φύλλο2!$M$231:$P$239,9-$F24,M24)),IF(M24="",INDEX(Φύλλο2!$D$231:$D$239,9-$F24,1),INDEX(Φύλλο2!$E$231:$H$239,9-$F24,M24)))))))))),"")</f>
        <v/>
      </c>
      <c r="O24" s="83"/>
      <c r="P24" s="84" t="str">
        <f>IF($F24&lt;&gt;9,IF($D24=1,IF($AS24=O3,0,IF(O24="",INDEX(Φύλλο2!$T$231:$T$239,9-$F24,1),INDEX(Φύλλο2!$U$231:$X$239,9-$F24,O24))),IF($D24=2,IF($AS24=O3,0,IF(O24="",INDEX(Φύλλο2!$AB$231:$AB$239,9-$F24,1),INDEX(Φύλλο2!$AC$231:$AF$239,9-$F24,O24))),IF($D24=3,IF($AS24=O3,0,IF(O24="",INDEX(Φύλλο2!$AJ$231:$AJ$239,9-$F24,1),INDEX(Φύλλο2!$AK$231:$AN$239,9-$F24,O24))),IF($D24=4,IF($AS24=O3,0,IF(O24="",INDEX(Φύλλο2!$AR$231:$AR$239,9-$F24,1),INDEX(Φύλλο2!$AS$231:$AV$239,9-$F24,O24))),IF($D24=5,IF($AS24=O3,0,IF(O24="",INDEX(Φύλλο2!$AZ$231:$AZ$239,9-$F24,1),INDEX(Φύλλο2!$BA$231:$BD$239,9-$F24,O24))),IF($D24=0,IF($AS24=O3,0,IF(AND($AS$22=$AS$23,$AS$23=$AS$24),IF(O24="",INDEX(Φύλλο2!$L$231:$L$239,9-$F24,1),INDEX(Φύλλο2!$M$231:$P$239,9-$F24,O24)),IF(O24="",INDEX(Φύλλο2!$D$231:$D$239,9-$F24,1),INDEX(Φύλλο2!$E$231:$H$239,9-$F24,O24)))))))))),"")</f>
        <v/>
      </c>
      <c r="Q24" s="79"/>
      <c r="R24" s="75" t="str">
        <f>IF($F24&lt;&gt;9,IF($D24=1,IF($AS24=Q3,0,IF(Q24="",INDEX(Φύλλο2!$T$231:$T$239,9-$F24,1),INDEX(Φύλλο2!$U$231:$X$239,9-$F24,Q24))),IF($D24=2,IF($AS24=Q3,0,IF(Q24="",INDEX(Φύλλο2!$AB$231:$AB$239,9-$F24,1),INDEX(Φύλλο2!$AC$231:$AF$239,9-$F24,Q24))),IF($D24=3,IF($AS24=Q3,0,IF(Q24="",INDEX(Φύλλο2!$AJ$231:$AJ$239,9-$F24,1),INDEX(Φύλλο2!$AK$231:$AN$239,9-$F24,Q24))),IF($D24=4,IF($AS24=Q3,0,IF(Q24="",INDEX(Φύλλο2!$AR$231:$AR$239,9-$F24,1),INDEX(Φύλλο2!$AS$231:$AV$239,9-$F24,Q24))),IF($D24=5,IF($AS24=Q3,0,IF(Q24="",INDEX(Φύλλο2!$AZ$231:$AZ$239,9-$F24,1),INDEX(Φύλλο2!$BA$231:$BD$239,9-$F24,Q24))),IF($D24=0,IF($AS24=Q3,0,IF(AND($AS$22=$AS$23,$AS$23=$AS$24),IF(Q24="",INDEX(Φύλλο2!$L$231:$L$239,9-$F24,1),INDEX(Φύλλο2!$M$231:$P$239,9-$F24,Q24)),IF(Q24="",INDEX(Φύλλο2!$D$231:$D$239,9-$F24,1),INDEX(Φύλλο2!$E$231:$H$239,9-$F24,Q24)))))))))),"")</f>
        <v/>
      </c>
      <c r="S24" s="70"/>
      <c r="T24" s="69"/>
      <c r="U24" s="69"/>
      <c r="V24" s="69"/>
      <c r="W24" s="38"/>
      <c r="X24" s="35"/>
      <c r="Y24" s="60">
        <f>IF(G24&lt;&gt;"",RANK(G24,Rank20,0),6)</f>
        <v>6</v>
      </c>
      <c r="Z24" s="60">
        <f>IF(I24&lt;&gt;"",RANK(I24,Rank20,0),6)</f>
        <v>6</v>
      </c>
      <c r="AA24" s="60">
        <f>IF(K24&lt;&gt;"",RANK(K24,Rank20,0),6)</f>
        <v>6</v>
      </c>
      <c r="AB24" s="60">
        <f>IF(M24&lt;&gt;"",RANK(M24,Rank20,0),6)</f>
        <v>6</v>
      </c>
      <c r="AC24" s="60">
        <f>IF(O24&lt;&gt;"",RANK(O24,Rank20,0),6)</f>
        <v>6</v>
      </c>
      <c r="AD24" s="60">
        <f>IF(Q24&lt;&gt;"",RANK(Q24,Rank20,0),6)</f>
        <v>6</v>
      </c>
      <c r="AE24" s="60">
        <f t="shared" si="8"/>
        <v>0</v>
      </c>
      <c r="AF24" s="27">
        <f t="shared" ca="1" si="9"/>
        <v>44454.006083796296</v>
      </c>
      <c r="AG24" s="28">
        <f t="shared" ca="1" si="10"/>
        <v>6.0837962955702096E-3</v>
      </c>
      <c r="AH24">
        <f ca="1">ROUNDDOWN(AG24,7)</f>
        <v>6.0837E-3</v>
      </c>
      <c r="AI24">
        <f ca="1">AH24/0.0000004</f>
        <v>15209.25</v>
      </c>
      <c r="AJ24" s="28">
        <f t="shared" ca="1" si="11"/>
        <v>0.25</v>
      </c>
      <c r="AK24" s="29">
        <f t="shared" ca="1" si="2"/>
        <v>44452.306083796298</v>
      </c>
      <c r="AL24" s="30">
        <f t="shared" ca="1" si="3"/>
        <v>6.0837962955702096E-3</v>
      </c>
      <c r="AM24" s="31">
        <f t="shared" ca="1" si="4"/>
        <v>6.0800000000000003E-3</v>
      </c>
      <c r="AN24" s="21">
        <f t="shared" ca="1" si="5"/>
        <v>304</v>
      </c>
      <c r="AO24" s="28">
        <f t="shared" ca="1" si="6"/>
        <v>0</v>
      </c>
      <c r="AP24" s="35">
        <v>70</v>
      </c>
      <c r="AQ24" s="35" t="str">
        <f t="shared" si="1"/>
        <v/>
      </c>
      <c r="AR24" s="38">
        <f>IF(COUNT(G24,I24,K24,M24,O24,Q24)=0,0,IF(COUNT(G24,I24,K24,M24,O24,Q24)=6,IF(F24=0,84,IF(F24=1,70,IF(F24=2,49,42))),IF(COUNT(G24,I24,K24,M24,O24,Q24)=5,IF(F24=0,70,IF(F24=1,49,IF(F24=2,42,IF(F24=3,35,28)))),IF(COUNT(G24,I24,K24,M24,O24,Q24)=4,IF(F24=0,49,IF(F24=1,42,IF(F24=2,35,IF(F24=3,28,IF(F24=4,21,14))))),IF(COUNT(G24,I24,K24,M24,O24,Q24)=3,IF(F24=0,35,IF(F24=1,28,IF(F24=2,28,IF(F24=3,21,IF(F24=4,14,IF(F24=5,7,0)))))),IF(COUNT(G24,I24,K24,M24,O24,Q24)=2,IF(F24=4,7,IF(F24=5,0,IF(F24=6,-7,IF(F24=7,-14,14)))),IF(COUNT(G24,I24,K24,M24,O24,Q24)=1,IF(F24=5,-7,IF(F24=6,-14,IF(F24=7,-21,IF(F24=8,-28,0)))))))))))</f>
        <v>0</v>
      </c>
      <c r="AS24" s="57" t="str">
        <f>IF(F24&lt;&gt;9,INDEX(S3:X24,1,MATCH(AE24,S24:X24,0)),"-")</f>
        <v>-</v>
      </c>
      <c r="AT24" s="96">
        <f>IF(AQ24="",0,IF(AND(AS22=AS23,AS23=AS24),AQ24+50,AQ24))+AR24</f>
        <v>0</v>
      </c>
      <c r="BR24" s="3">
        <v>1</v>
      </c>
      <c r="BS24" s="4" t="str">
        <f>H5</f>
        <v/>
      </c>
      <c r="BT24" s="4" t="str">
        <f>J5</f>
        <v/>
      </c>
      <c r="BU24" s="4" t="str">
        <f>L5</f>
        <v/>
      </c>
      <c r="BV24" s="4" t="str">
        <f>N5</f>
        <v/>
      </c>
      <c r="BW24" s="4" t="str">
        <f>P5</f>
        <v/>
      </c>
      <c r="BX24" s="4" t="str">
        <f>R5</f>
        <v/>
      </c>
    </row>
    <row r="25" spans="1:76" ht="19.5" thickTop="1" x14ac:dyDescent="0.25">
      <c r="A25" s="16">
        <v>21</v>
      </c>
      <c r="B25" s="36">
        <v>350</v>
      </c>
      <c r="C25" s="36">
        <f t="shared" si="0"/>
        <v>0</v>
      </c>
      <c r="D25" s="36"/>
      <c r="E25" s="4">
        <v>200</v>
      </c>
      <c r="F25" s="91">
        <f t="shared" si="7"/>
        <v>9</v>
      </c>
      <c r="G25" s="85"/>
      <c r="H25" s="86" t="str">
        <f>IF($F25&lt;&gt;9,IF($D25=1,IF($AS25=G3,0,IF(G25="",INDEX(Φύλλο2!$T$243:$T$251,9-$F25,1),INDEX(Φύλλο2!$U$243:$X$251,9-$F25,G25))),IF($D25=2,IF($AS25=G3,0,IF(G25="",INDEX(Φύλλο2!$AB$243:$AB$251,9-$F25,1),INDEX(Φύλλο2!$AC$243:$AF$251,9-$F25,G25))),IF($D25=3,IF($AS25=G3,0,IF(G25="",INDEX(Φύλλο2!$AJ$243:$AJ$251,9-$F25,1),INDEX(Φύλλο2!$AK$243:$AN$251,9-$F25,G25))),IF($D25=4,IF($AS25=G3,0,IF(G25="",INDEX(Φύλλο2!$AR$243:$AR$251,9-$F25,1),INDEX(Φύλλο2!$AS$243:$AV$251,9-$F25,G25))),IF($D25=5,IF($AS25=G3,0,IF(G25="",INDEX(Φύλλο2!$AZ$243:$AZ$251,9-$F25,1),INDEX(Φύλλο2!$BA$243:$BD$251,9-$F25,G25))),IF($D25=0,IF($AS25=G3,0,IF($AS$25&lt;&gt;$AS$26,IF(G25="",INDEX(Φύλλο2!$D$243:$D$251,9-$F25,1),INDEX(Φύλλο2!$E$243:$H$251,9-$F25,G25)),IF(G25="",INDEX(Φύλλο2!$L$243:$L$251,9-$F25,1),INDEX(Φύλλο2!$M$243:$P$251,9-$F25,G25)))))))))),"")</f>
        <v/>
      </c>
      <c r="I25" s="85"/>
      <c r="J25" s="86" t="str">
        <f>IF($F25&lt;&gt;9,IF($D25=1,IF($AS25=I3,0,IF(I25="",INDEX(Φύλλο2!$T$243:$T$251,9-$F25,1),INDEX(Φύλλο2!$U$243:$X$251,9-$F25,I25))),IF($D25=2,IF($AS25=I3,0,IF(I25="",INDEX(Φύλλο2!$AB$243:$AB$251,9-$F25,1),INDEX(Φύλλο2!$AC$243:$AF$251,9-$F25,I25))),IF($D25=3,IF($AS25=I3,0,IF(I25="",INDEX(Φύλλο2!$AJ$243:$AJ$251,9-$F25,1),INDEX(Φύλλο2!$AK$243:$AN$251,9-$F25,I25))),IF($D25=4,IF($AS25=I3,0,IF(I25="",INDEX(Φύλλο2!$AR$243:$AR$251,9-$F25,1),INDEX(Φύλλο2!$AS$243:$AV$251,9-$F25,I25))),IF($D25=5,IF($AS25=I3,0,IF(I25="",INDEX(Φύλλο2!$AZ$243:$AZ$251,9-$F25,1),INDEX(Φύλλο2!$BA$243:$BD$251,9-$F25,I25))),IF($D25=0,IF($AS25=I3,0,IF($AS$25&lt;&gt;$AS$26,IF(I25="",INDEX(Φύλλο2!$D$243:$D$251,9-$F25,1),INDEX(Φύλλο2!$E$243:$H$251,9-$F25,I25)),IF(I25="",INDEX(Φύλλο2!$L$243:$L$251,9-$F25,1),INDEX(Φύλλο2!$M$243:$P$251,9-$F25,I25)))))))))),"")</f>
        <v/>
      </c>
      <c r="K25" s="85"/>
      <c r="L25" s="86" t="str">
        <f>IF($F25&lt;&gt;9,IF($D25=1,IF($AS25=K3,0,IF(K25="",INDEX(Φύλλο2!$T$243:$T$251,9-$F25,1),INDEX(Φύλλο2!$U$243:$X$251,9-$F25,K25))),IF($D25=2,IF($AS25=K3,0,IF(K25="",INDEX(Φύλλο2!$AB$243:$AB$251,9-$F25,1),INDEX(Φύλλο2!$AC$243:$AF$251,9-$F25,K25))),IF($D25=3,IF($AS25=K3,0,IF(K25="",INDEX(Φύλλο2!$AJ$243:$AJ$251,9-$F25,1),INDEX(Φύλλο2!$AK$243:$AN$251,9-$F25,K25))),IF($D25=4,IF($AS25=K3,0,IF(K25="",INDEX(Φύλλο2!$AR$243:$AR$251,9-$F25,1),INDEX(Φύλλο2!$AS$243:$AV$251,9-$F25,K25))),IF($D25=5,IF($AS25=K3,0,IF(K25="",INDEX(Φύλλο2!$AZ$243:$AZ$251,9-$F25,1),INDEX(Φύλλο2!$BA$243:$BD$251,9-$F25,K25))),IF($D25=0,IF($AS25=K3,0,IF($AS$25&lt;&gt;$AS$26,IF(K25="",INDEX(Φύλλο2!$D$243:$D$251,9-$F25,1),INDEX(Φύλλο2!$E$243:$H$251,9-$F25,K25)),IF(K25="",INDEX(Φύλλο2!$L$243:$L$251,9-$F25,1),INDEX(Φύλλο2!$M$243:$P$251,9-$F25,K25)))))))))),"")</f>
        <v/>
      </c>
      <c r="M25" s="85"/>
      <c r="N25" s="86" t="str">
        <f>IF($F25&lt;&gt;9,IF($D25=1,IF($AS25=M3,0,IF(M25="",INDEX(Φύλλο2!$T$243:$T$251,9-$F25,1),INDEX(Φύλλο2!$U$243:$X$251,9-$F25,M25))),IF($D25=2,IF($AS25=M3,0,IF(M25="",INDEX(Φύλλο2!$AB$243:$AB$251,9-$F25,1),INDEX(Φύλλο2!$AC$243:$AF$251,9-$F25,M25))),IF($D25=3,IF($AS25=M3,0,IF(M25="",INDEX(Φύλλο2!$AJ$243:$AJ$251,9-$F25,1),INDEX(Φύλλο2!$AK$243:$AN$251,9-$F25,M25))),IF($D25=4,IF($AS25=M3,0,IF(M25="",INDEX(Φύλλο2!$AR$243:$AR$251,9-$F25,1),INDEX(Φύλλο2!$AS$243:$AV$251,9-$F25,M25))),IF($D25=5,IF($AS25=M3,0,IF(M25="",INDEX(Φύλλο2!$AZ$243:$AZ$251,9-$F25,1),INDEX(Φύλλο2!$BA$243:$BD$251,9-$F25,M25))),IF($D25=0,IF($AS25=M3,0,IF($AS$25&lt;&gt;$AS$26,IF(M25="",INDEX(Φύλλο2!$D$243:$D$251,9-$F25,1),INDEX(Φύλλο2!$E$243:$H$251,9-$F25,M25)),IF(M25="",INDEX(Φύλλο2!$L$243:$L$251,9-$F25,1),INDEX(Φύλλο2!$M$243:$P$251,9-$F25,M25)))))))))),"")</f>
        <v/>
      </c>
      <c r="O25" s="85"/>
      <c r="P25" s="86" t="str">
        <f>IF($F25&lt;&gt;9,IF($D25=1,IF($AS25=O3,0,IF(O25="",INDEX(Φύλλο2!$T$243:$T$251,9-$F25,1),INDEX(Φύλλο2!$U$243:$X$251,9-$F25,O25))),IF($D25=2,IF($AS25=O3,0,IF(O25="",INDEX(Φύλλο2!$AB$243:$AB$251,9-$F25,1),INDEX(Φύλλο2!$AC$243:$AF$251,9-$F25,O25))),IF($D25=3,IF($AS25=O3,0,IF(O25="",INDEX(Φύλλο2!$AJ$243:$AJ$251,9-$F25,1),INDEX(Φύλλο2!$AK$243:$AN$251,9-$F25,O25))),IF($D25=4,IF($AS25=O3,0,IF(O25="",INDEX(Φύλλο2!$AR$243:$AR$251,9-$F25,1),INDEX(Φύλλο2!$AS$243:$AV$251,9-$F25,O25))),IF($D25=5,IF($AS25=O3,0,IF(O25="",INDEX(Φύλλο2!$AZ$243:$AZ$251,9-$F25,1),INDEX(Φύλλο2!$BA$243:$BD$251,9-$F25,O25))),IF($D25=0,IF($AS25=O3,0,IF($AS$25&lt;&gt;$AS$26,IF(O25="",INDEX(Φύλλο2!$D$243:$D$251,9-$F25,1),INDEX(Φύλλο2!$E$243:$H$251,9-$F25,O25)),IF(O25="",INDEX(Φύλλο2!$L$243:$L$251,9-$F25,1),INDEX(Φύλλο2!$M$243:$P$251,9-$F25,O25)))))))))),"")</f>
        <v/>
      </c>
      <c r="Q25" s="80"/>
      <c r="R25" s="76" t="str">
        <f>IF($F25&lt;&gt;9,IF($D25=1,IF($AS25=Q3,0,IF(Q25="",INDEX(Φύλλο2!$T$243:$T$251,9-$F25,1),INDEX(Φύλλο2!$U$243:$X$251,9-$F25,Q25))),IF($D25=2,IF($AS25=Q3,0,IF(Q25="",INDEX(Φύλλο2!$AB$243:$AB$251,9-$F25,1),INDEX(Φύλλο2!$AC$243:$AF$251,9-$F25,Q25))),IF($D25=3,IF($AS25=Q3,0,IF(Q25="",INDEX(Φύλλο2!$AJ$243:$AJ$251,9-$F25,1),INDEX(Φύλλο2!$AK$243:$AN$251,9-$F25,Q25))),IF($D25=4,IF($AS25=Q3,0,IF(Q25="",INDEX(Φύλλο2!$AR$243:$AR$251,9-$F25,1),INDEX(Φύλλο2!$AS$243:$AV$251,9-$F25,Q25))),IF($D25=5,IF($AS25=Q3,0,IF(Q25="",INDEX(Φύλλο2!$AZ$243:$AZ$251,9-$F25,1),INDEX(Φύλλο2!$BA$243:$BD$251,9-$F25,Q25))),IF($D25=0,IF($AS25=Q3,0,IF($AS$25&lt;&gt;$AS$26,IF(Q25="",INDEX(Φύλλο2!$D$243:$D$251,9-$F25,1),INDEX(Φύλλο2!$E$243:$H$251,9-$F25,Q25)),IF(Q25="",INDEX(Φύλλο2!$L$243:$L$251,9-$F25,1),INDEX(Φύλλο2!$M$243:$P$251,9-$F25,Q25)))))))))),"")</f>
        <v/>
      </c>
      <c r="S25" s="63"/>
      <c r="T25" s="64"/>
      <c r="U25" s="64"/>
      <c r="V25" s="64"/>
      <c r="W25" s="39"/>
      <c r="X25" s="65"/>
      <c r="Y25" s="60">
        <f>IF(G25&lt;&gt;"",RANK(G25,Rank21,0),6)</f>
        <v>6</v>
      </c>
      <c r="Z25" s="60">
        <f>IF(I25&lt;&gt;"",RANK(I25,Rank21,0),6)</f>
        <v>6</v>
      </c>
      <c r="AA25" s="60">
        <f>IF(K25&lt;&gt;"",RANK(K25,Rank21,0),6)</f>
        <v>6</v>
      </c>
      <c r="AB25" s="60">
        <f>IF(M25&lt;&gt;"",RANK(M25,Rank21,0),6)</f>
        <v>6</v>
      </c>
      <c r="AC25" s="60">
        <f>IF(O25&lt;&gt;"",RANK(O25,Rank21,0),6)</f>
        <v>6</v>
      </c>
      <c r="AD25" s="60">
        <f>IF(Q25&lt;&gt;"",RANK(Q25,Rank21,0),6)</f>
        <v>6</v>
      </c>
      <c r="AE25" s="60">
        <f t="shared" si="8"/>
        <v>0</v>
      </c>
      <c r="AF25" s="1">
        <f t="shared" ca="1" si="9"/>
        <v>44454.006083796296</v>
      </c>
      <c r="AG25" s="2">
        <f t="shared" ca="1" si="10"/>
        <v>6.0837962955702096E-3</v>
      </c>
      <c r="AH25">
        <f ca="1">ROUNDDOWN(AG25,8)</f>
        <v>6.0837900000000004E-3</v>
      </c>
      <c r="AI25">
        <f ca="1">AH25/0.00000004</f>
        <v>152094.75</v>
      </c>
      <c r="AJ25" s="2">
        <f t="shared" ca="1" si="11"/>
        <v>0.75</v>
      </c>
      <c r="AK25" s="7">
        <f t="shared" ca="1" si="2"/>
        <v>44452.306083796298</v>
      </c>
      <c r="AL25" s="5">
        <f t="shared" ca="1" si="3"/>
        <v>6.0837962955702096E-3</v>
      </c>
      <c r="AM25" s="6">
        <f t="shared" ca="1" si="4"/>
        <v>6.0800000000000003E-3</v>
      </c>
      <c r="AN25">
        <f t="shared" ca="1" si="5"/>
        <v>304</v>
      </c>
      <c r="AO25" s="2">
        <f t="shared" ca="1" si="6"/>
        <v>0</v>
      </c>
      <c r="AP25" s="36">
        <v>76</v>
      </c>
      <c r="AQ25" s="36" t="str">
        <f t="shared" si="1"/>
        <v/>
      </c>
      <c r="AR25" s="39">
        <f>IF(COUNT(G25,I25,K25,M25,O25,Q25)=0,0,IF(COUNT(G25,I25,K25,M25,O25,Q25)=6,IF(F25=0,91,IF(F25=1,77,IF(F25=2,52,46))),IF(COUNT(G25,I25,K25,M25,O25,Q25)=5,IF(F25=0,77,IF(F25=1,52,IF(F25=2,46,IF(F25=3,38,31)))),IF(COUNT(G25,I25,K25,M25,O25,Q25)=4,IF(F25=0,52,IF(F25=1,46,IF(F25=2,38,IF(F25=3,31,IF(F25=4,23,15))))),IF(COUNT(G25,I25,K25,M25,O25,Q25)=3,IF(F25=0,38,IF(F25=1,31,IF(F25=2,31,IF(F25=3,23,IF(F25=4,15,IF(F25=5,8,0)))))),IF(COUNT(G25,I25,K25,M25,O25,Q25)=2,IF(F25=4,8,IF(F25=5,0,IF(F25=6,-8,IF(F25=7,-15,15)))),IF(COUNT(G25,I25,K25,M25,O25,Q25)=1,IF(F25=5,-8,IF(F25=6,-15,IF(F25=7,-23,IF(F25=8,-31,0)))))))))))</f>
        <v>0</v>
      </c>
      <c r="AS25" s="67" t="str">
        <f>IF(F25&lt;&gt;9,INDEX(S3:X25,1,MATCH(AE25,S25:X25,0)),"-")</f>
        <v>-</v>
      </c>
      <c r="AT25" s="95">
        <f>IF(AQ25="",0,IF(AS25=AS26,AQ25+55,AQ25))+AR25</f>
        <v>0</v>
      </c>
      <c r="BR25" s="3">
        <v>2</v>
      </c>
      <c r="BS25" s="4" t="str">
        <f t="shared" ref="BS25:BS45" si="13">H6</f>
        <v/>
      </c>
      <c r="BT25" s="4" t="str">
        <f t="shared" ref="BT25:BT45" si="14">J6</f>
        <v/>
      </c>
      <c r="BU25" s="4" t="str">
        <f t="shared" ref="BU25:BU45" si="15">L6</f>
        <v/>
      </c>
      <c r="BV25" s="4" t="str">
        <f t="shared" ref="BV25:BV45" si="16">N6</f>
        <v/>
      </c>
      <c r="BW25" s="4" t="str">
        <f t="shared" ref="BW25:BW45" si="17">P6</f>
        <v/>
      </c>
      <c r="BX25" s="4" t="str">
        <f t="shared" ref="BX25:BX45" si="18">R6</f>
        <v/>
      </c>
    </row>
    <row r="26" spans="1:76" ht="19.5" thickBot="1" x14ac:dyDescent="0.3">
      <c r="A26" s="33">
        <v>22</v>
      </c>
      <c r="B26" s="35">
        <v>400</v>
      </c>
      <c r="C26" s="35">
        <f t="shared" si="0"/>
        <v>0</v>
      </c>
      <c r="D26" s="35"/>
      <c r="E26" s="20">
        <v>200</v>
      </c>
      <c r="F26" s="90">
        <f t="shared" si="7"/>
        <v>9</v>
      </c>
      <c r="G26" s="83"/>
      <c r="H26" s="84" t="str">
        <f>IF($F26&lt;&gt;9,IF($D26=1,IF($AS26=G3,0,IF(G26="",INDEX(Φύλλο2!$T$255:$T$263,9-$F26,1),INDEX(Φύλλο2!$U$255:$X$263,9-$F26,G26))),IF($D26=2,IF($AS26=G3,0,IF(G26="",INDEX(Φύλλο2!$AB$255:$AB$263,9-$F26,1),INDEX(Φύλλο2!$AC$255:$AF$263,9-$F26,G26))),IF($D26=3,IF($AS26=G3,0,IF(G26="",INDEX(Φύλλο2!$AJ$255:$AJ$263,9-$F26,1),INDEX(Φύλλο2!$AK$255:$AN$263,9-$F26,G26))),IF($D26=4,IF($AS26=G3,0,IF(G26="",INDEX(Φύλλο2!$AR$255:$AR$263,9-$F26,1),INDEX(Φύλλο2!$AS$255:$AV$263,9-$F26,G26))),IF($D26=5,IF($AS26=G3,0,IF(G26="",INDEX(Φύλλο2!$AZ$255:$AZ$263,9-$F26,1),INDEX(Φύλλο2!$BA$255:$BD$263,9-$F26,G26))),IF($D26=0,IF($AS26=G3,0,IF($AS$25&lt;&gt;$AS$26,IF(G26="",INDEX(Φύλλο2!$D$255:$D$263,9-$F26,1),INDEX(Φύλλο2!$E$255:$H$263,9-$F26,G26)),IF(G26="",INDEX(Φύλλο2!$L$255:$L$263,9-$F26,1),INDEX(Φύλλο2!$M$255:$P$263,9-$F26,G26)))))))))),"")</f>
        <v/>
      </c>
      <c r="I26" s="83"/>
      <c r="J26" s="84" t="str">
        <f>IF($F26&lt;&gt;9,IF($D26=1,IF($AS26=I3,0,IF(I26="",INDEX(Φύλλο2!$T$255:$T$263,9-$F26,1),INDEX(Φύλλο2!$U$255:$X$263,9-$F26,I26))),IF($D26=2,IF($AS26=I3,0,IF(I26="",INDEX(Φύλλο2!$AB$255:$AB$263,9-$F26,1),INDEX(Φύλλο2!$AC$255:$AF$263,9-$F26,I26))),IF($D26=3,IF($AS26=I3,0,IF(I26="",INDEX(Φύλλο2!$AJ$255:$AJ$263,9-$F26,1),INDEX(Φύλλο2!$AK$255:$AN$263,9-$F26,I26))),IF($D26=4,IF($AS26=I3,0,IF(I26="",INDEX(Φύλλο2!$AR$255:$AR$263,9-$F26,1),INDEX(Φύλλο2!$AS$255:$AV$263,9-$F26,I26))),IF($D26=5,IF($AS26=I3,0,IF(I26="",INDEX(Φύλλο2!$AZ$255:$AZ$263,9-$F26,1),INDEX(Φύλλο2!$BA$255:$BD$263,9-$F26,I26))),IF($D26=0,IF($AS26=I3,0,IF($AS$25&lt;&gt;$AS$26,IF(I26="",INDEX(Φύλλο2!$D$255:$D$263,9-$F26,1),INDEX(Φύλλο2!$E$255:$H$263,9-$F26,I26)),IF(I26="",INDEX(Φύλλο2!$L$255:$L$263,9-$F26,1),INDEX(Φύλλο2!$M$255:$P$263,9-$F26,I26)))))))))),"")</f>
        <v/>
      </c>
      <c r="K26" s="83"/>
      <c r="L26" s="84" t="str">
        <f>IF($F26&lt;&gt;9,IF($D26=1,IF($AS26=K3,0,IF(K26="",INDEX(Φύλλο2!$T$255:$T$263,9-$F26,1),INDEX(Φύλλο2!$U$255:$X$263,9-$F26,K26))),IF($D26=2,IF($AS26=K3,0,IF(K26="",INDEX(Φύλλο2!$AB$255:$AB$263,9-$F26,1),INDEX(Φύλλο2!$AC$255:$AF$263,9-$F26,K26))),IF($D26=3,IF($AS26=K3,0,IF(K26="",INDEX(Φύλλο2!$AJ$255:$AJ$263,9-$F26,1),INDEX(Φύλλο2!$AK$255:$AN$263,9-$F26,K26))),IF($D26=4,IF($AS26=K3,0,IF(K26="",INDEX(Φύλλο2!$AR$255:$AR$263,9-$F26,1),INDEX(Φύλλο2!$AS$255:$AV$263,9-$F26,K26))),IF($D26=5,IF($AS26=K3,0,IF(K26="",INDEX(Φύλλο2!$AZ$255:$AZ$263,9-$F26,1),INDEX(Φύλλο2!$BA$255:$BD$263,9-$F26,K26))),IF($D26=0,IF($AS26=K3,0,IF($AS$25&lt;&gt;$AS$26,IF(K26="",INDEX(Φύλλο2!$D$255:$D$263,9-$F26,1),INDEX(Φύλλο2!$E$255:$H$263,9-$F26,K26)),IF(K26="",INDEX(Φύλλο2!$L$255:$L$263,9-$F26,1),INDEX(Φύλλο2!$M$255:$P$263,9-$F26,K26)))))))))),"")</f>
        <v/>
      </c>
      <c r="M26" s="83"/>
      <c r="N26" s="84" t="str">
        <f>IF($F26&lt;&gt;9,IF($D26=1,IF($AS26=M3,0,IF(M26="",INDEX(Φύλλο2!$T$255:$T$263,9-$F26,1),INDEX(Φύλλο2!$U$255:$X$263,9-$F26,M26))),IF($D26=2,IF($AS26=M3,0,IF(M26="",INDEX(Φύλλο2!$AB$255:$AB$263,9-$F26,1),INDEX(Φύλλο2!$AC$255:$AF$263,9-$F26,M26))),IF($D26=3,IF($AS26=M3,0,IF(M26="",INDEX(Φύλλο2!$AJ$255:$AJ$263,9-$F26,1),INDEX(Φύλλο2!$AK$255:$AN$263,9-$F26,M26))),IF($D26=4,IF($AS26=M3,0,IF(M26="",INDEX(Φύλλο2!$AR$255:$AR$263,9-$F26,1),INDEX(Φύλλο2!$AS$255:$AV$263,9-$F26,M26))),IF($D26=5,IF($AS26=M3,0,IF(M26="",INDEX(Φύλλο2!$AZ$255:$AZ$263,9-$F26,1),INDEX(Φύλλο2!$BA$255:$BD$263,9-$F26,M26))),IF($D26=0,IF($AS26=M3,0,IF($AS$25&lt;&gt;$AS$26,IF(M26="",INDEX(Φύλλο2!$D$255:$D$263,9-$F26,1),INDEX(Φύλλο2!$E$255:$H$263,9-$F26,M26)),IF(M26="",INDEX(Φύλλο2!$L$255:$L$263,9-$F26,1),INDEX(Φύλλο2!$M$255:$P$263,9-$F26,M26)))))))))),"")</f>
        <v/>
      </c>
      <c r="O26" s="83"/>
      <c r="P26" s="84" t="str">
        <f>IF($F26&lt;&gt;9,IF($D26=1,IF($AS26=O3,0,IF(O26="",INDEX(Φύλλο2!$T$255:$T$263,9-$F26,1),INDEX(Φύλλο2!$U$255:$X$263,9-$F26,O26))),IF($D26=2,IF($AS26=O3,0,IF(O26="",INDEX(Φύλλο2!$AB$255:$AB$263,9-$F26,1),INDEX(Φύλλο2!$AC$255:$AF$263,9-$F26,O26))),IF($D26=3,IF($AS26=O3,0,IF(O26="",INDEX(Φύλλο2!$AJ$255:$AJ$263,9-$F26,1),INDEX(Φύλλο2!$AK$255:$AN$263,9-$F26,O26))),IF($D26=4,IF($AS26=O3,0,IF(O26="",INDEX(Φύλλο2!$AR$255:$AR$263,9-$F26,1),INDEX(Φύλλο2!$AS$255:$AV$263,9-$F26,O26))),IF($D26=5,IF($AS26=O3,0,IF(O26="",INDEX(Φύλλο2!$AZ$255:$AZ$263,9-$F26,1),INDEX(Φύλλο2!$BA$255:$BD$263,9-$F26,O26))),IF($D26=0,IF($AS26=O3,0,IF($AS$25&lt;&gt;$AS$26,IF(O26="",INDEX(Φύλλο2!$D$255:$D$263,9-$F26,1),INDEX(Φύλλο2!$E$255:$H$263,9-$F26,O26)),IF(O26="",INDEX(Φύλλο2!$L$255:$L$263,9-$F26,1),INDEX(Φύλλο2!$M$255:$P$263,9-$F26,O26)))))))))),"")</f>
        <v/>
      </c>
      <c r="Q26" s="79"/>
      <c r="R26" s="75" t="str">
        <f>IF($F26&lt;&gt;9,IF($D26=1,IF($AS26=Q3,0,IF(Q26="",INDEX(Φύλλο2!$T$255:$T$263,9-$F26,1),INDEX(Φύλλο2!$U$255:$X$263,9-$F26,Q26))),IF($D26=2,IF($AS26=Q3,0,IF(Q26="",INDEX(Φύλλο2!$AB$255:$AB$263,9-$F26,1),INDEX(Φύλλο2!$AC$255:$AF$263,9-$F26,Q26))),IF($D26=3,IF($AS26=Q3,0,IF(Q26="",INDEX(Φύλλο2!$AJ$255:$AJ$263,9-$F26,1),INDEX(Φύλλο2!$AK$255:$AN$263,9-$F26,Q26))),IF($D26=4,IF($AS26=Q3,0,IF(Q26="",INDEX(Φύλλο2!$AR$255:$AR$263,9-$F26,1),INDEX(Φύλλο2!$AS$255:$AV$263,9-$F26,Q26))),IF($D26=5,IF($AS26=Q3,0,IF(Q26="",INDEX(Φύλλο2!$AZ$255:$AZ$263,9-$F26,1),INDEX(Φύλλο2!$BA$255:$BD$263,9-$F26,Q26))),IF($D26=0,IF($AS26=Q3,0,IF($AS$25&lt;&gt;$AS$26,IF(Q26="",INDEX(Φύλλο2!$D$255:$D$263,9-$F26,1),INDEX(Φύλλο2!$E$255:$H$263,9-$F26,Q26)),IF(Q26="",INDEX(Φύλλο2!$L$255:$L$263,9-$F26,1),INDEX(Φύλλο2!$M$255:$P$263,9-$F26,Q26)))))))))),"")</f>
        <v/>
      </c>
      <c r="S26" s="70"/>
      <c r="T26" s="69"/>
      <c r="U26" s="69"/>
      <c r="V26" s="69"/>
      <c r="W26" s="38"/>
      <c r="X26" s="71"/>
      <c r="Y26" s="60">
        <f>IF(G26&lt;&gt;"",RANK(G26,Rank22,0),6)</f>
        <v>6</v>
      </c>
      <c r="Z26" s="60">
        <f>IF(I26&lt;&gt;"",RANK(I26,Rank22,0),6)</f>
        <v>6</v>
      </c>
      <c r="AA26" s="60">
        <f>IF(K26&lt;&gt;"",RANK(K26,Rank22,0),6)</f>
        <v>6</v>
      </c>
      <c r="AB26" s="60">
        <f>IF(M26&lt;&gt;"",RANK(M26,Rank22,0),6)</f>
        <v>6</v>
      </c>
      <c r="AC26" s="60">
        <f>IF(O26&lt;&gt;"",RANK(O26,Rank22,0),6)</f>
        <v>6</v>
      </c>
      <c r="AD26" s="60">
        <f>IF(Q26&lt;&gt;"",RANK(Q26,Rank22,0),6)</f>
        <v>6</v>
      </c>
      <c r="AE26" s="60">
        <f t="shared" si="8"/>
        <v>0</v>
      </c>
      <c r="AF26" s="1">
        <f t="shared" ca="1" si="9"/>
        <v>44454.006083796296</v>
      </c>
      <c r="AG26" s="2">
        <f t="shared" ca="1" si="10"/>
        <v>6.0837962955702096E-3</v>
      </c>
      <c r="AH26">
        <f ca="1">ROUNDDOWN(AG26,6)</f>
        <v>6.0829999999999999E-3</v>
      </c>
      <c r="AI26">
        <f ca="1">AH26/0.000004</f>
        <v>1520.75</v>
      </c>
      <c r="AJ26" s="2">
        <f t="shared" ca="1" si="11"/>
        <v>0.75</v>
      </c>
      <c r="AK26" s="7">
        <f t="shared" ca="1" si="2"/>
        <v>44452.306083796298</v>
      </c>
      <c r="AL26" s="5">
        <f t="shared" ca="1" si="3"/>
        <v>6.0837962955702096E-3</v>
      </c>
      <c r="AM26" s="6">
        <f t="shared" ca="1" si="4"/>
        <v>6.0800000000000003E-3</v>
      </c>
      <c r="AN26">
        <f t="shared" ca="1" si="5"/>
        <v>304</v>
      </c>
      <c r="AO26" s="2">
        <f t="shared" ca="1" si="6"/>
        <v>0</v>
      </c>
      <c r="AP26" s="35">
        <v>87</v>
      </c>
      <c r="AQ26" s="35" t="str">
        <f t="shared" si="1"/>
        <v/>
      </c>
      <c r="AR26" s="38">
        <f>IF(COUNT(G26,I26,K26,M26,O26,Q26)=0,0,IF(COUNT(G26,I26,K26,M26,O26,Q26)=6,IF(F26=0,105,IF(F26=1,88,IF(F26=2,61,53))),IF(COUNT(G26,I26,K26,M26,O26,Q26)=5,IF(F26=0,88,IF(F26=1,61,IF(F26=2,53,IF(F26=3,44,35)))),IF(COUNT(G26,I26,K26,M26,O26,Q26)=4,IF(F26=0,61,IF(F26=1,53,IF(F26=2,44,IF(F26=3,35,IF(F26=4,26,18))))),IF(COUNT(G26,I26,K26,M26,O26,Q26)=3,IF(F26=0,44,IF(F26=1,35,IF(F26=2,35,IF(F26=3,26,IF(F26=4,18,IF(F26=5,9,0)))))),IF(COUNT(G26,I26,K26,M26,O26,Q26)=2,IF(F26=4,9,IF(F26=5,0,IF(F26=6,-9,IF(F26=7,-17,18)))),IF(COUNT(G26,I26,K26,M26,O26,Q26)=1,IF(F26=5,-9,IF(F26=6,-17,IF(F26=7,-26,IF(F26=8,-35,0)))))))))))</f>
        <v>0</v>
      </c>
      <c r="AS26" s="56" t="str">
        <f>IF(F26&lt;&gt;9,INDEX(S3:X26,1,MATCH(AE26,S26:X26,0)),"-")</f>
        <v>-</v>
      </c>
      <c r="AT26" s="96">
        <f>IF(AQ26="",0,IF(AS25=AS26,AQ26+63,AQ26))+AR26</f>
        <v>0</v>
      </c>
      <c r="BR26" s="3">
        <v>3</v>
      </c>
      <c r="BS26" s="4" t="str">
        <f t="shared" si="13"/>
        <v/>
      </c>
      <c r="BT26" s="4" t="str">
        <f t="shared" si="14"/>
        <v/>
      </c>
      <c r="BU26" s="4" t="str">
        <f t="shared" si="15"/>
        <v/>
      </c>
      <c r="BV26" s="4" t="str">
        <f t="shared" si="16"/>
        <v/>
      </c>
      <c r="BW26" s="4" t="str">
        <f t="shared" si="17"/>
        <v/>
      </c>
      <c r="BX26" s="4" t="str">
        <f t="shared" si="18"/>
        <v/>
      </c>
    </row>
    <row r="27" spans="1:76" ht="19.5" thickTop="1" x14ac:dyDescent="0.25">
      <c r="F27" s="73"/>
      <c r="S27" s="77"/>
      <c r="T27" s="77"/>
      <c r="U27" s="77"/>
      <c r="V27" s="77"/>
      <c r="W27" s="77"/>
      <c r="X27" s="77"/>
      <c r="BR27" s="3">
        <v>4</v>
      </c>
      <c r="BS27" s="4" t="str">
        <f t="shared" si="13"/>
        <v/>
      </c>
      <c r="BT27" s="4" t="str">
        <f t="shared" si="14"/>
        <v/>
      </c>
      <c r="BU27" s="4" t="str">
        <f t="shared" si="15"/>
        <v/>
      </c>
      <c r="BV27" s="4" t="str">
        <f t="shared" si="16"/>
        <v/>
      </c>
      <c r="BW27" s="4" t="str">
        <f t="shared" si="17"/>
        <v/>
      </c>
      <c r="BX27" s="4" t="str">
        <f t="shared" si="18"/>
        <v/>
      </c>
    </row>
    <row r="28" spans="1:76" ht="15" x14ac:dyDescent="0.25">
      <c r="BR28" s="3">
        <v>5</v>
      </c>
      <c r="BS28" s="4" t="str">
        <f t="shared" si="13"/>
        <v/>
      </c>
      <c r="BT28" s="4" t="str">
        <f t="shared" si="14"/>
        <v/>
      </c>
      <c r="BU28" s="4" t="str">
        <f t="shared" si="15"/>
        <v/>
      </c>
      <c r="BV28" s="4" t="str">
        <f t="shared" si="16"/>
        <v/>
      </c>
      <c r="BW28" s="4" t="str">
        <f t="shared" si="17"/>
        <v/>
      </c>
      <c r="BX28" s="4" t="str">
        <f t="shared" si="18"/>
        <v/>
      </c>
    </row>
    <row r="29" spans="1:76" ht="15" x14ac:dyDescent="0.25">
      <c r="BR29" s="3">
        <v>6</v>
      </c>
      <c r="BS29" s="4" t="str">
        <f t="shared" si="13"/>
        <v/>
      </c>
      <c r="BT29" s="4" t="str">
        <f t="shared" si="14"/>
        <v/>
      </c>
      <c r="BU29" s="4" t="str">
        <f t="shared" si="15"/>
        <v/>
      </c>
      <c r="BV29" s="4" t="str">
        <f t="shared" si="16"/>
        <v/>
      </c>
      <c r="BW29" s="4" t="str">
        <f t="shared" si="17"/>
        <v/>
      </c>
      <c r="BX29" s="4" t="str">
        <f t="shared" si="18"/>
        <v/>
      </c>
    </row>
    <row r="30" spans="1:76" x14ac:dyDescent="0.3">
      <c r="BR30" s="3">
        <v>7</v>
      </c>
      <c r="BS30" s="4" t="str">
        <f t="shared" si="13"/>
        <v/>
      </c>
      <c r="BT30" s="4" t="str">
        <f t="shared" si="14"/>
        <v/>
      </c>
      <c r="BU30" s="4" t="str">
        <f t="shared" si="15"/>
        <v/>
      </c>
      <c r="BV30" s="4" t="str">
        <f t="shared" si="16"/>
        <v/>
      </c>
      <c r="BW30" s="4" t="str">
        <f t="shared" si="17"/>
        <v/>
      </c>
      <c r="BX30" s="4" t="str">
        <f t="shared" si="18"/>
        <v/>
      </c>
    </row>
    <row r="31" spans="1:76" x14ac:dyDescent="0.3">
      <c r="BR31" s="3">
        <v>8</v>
      </c>
      <c r="BS31" s="4" t="str">
        <f t="shared" si="13"/>
        <v/>
      </c>
      <c r="BT31" s="4" t="str">
        <f t="shared" si="14"/>
        <v/>
      </c>
      <c r="BU31" s="4" t="str">
        <f t="shared" si="15"/>
        <v/>
      </c>
      <c r="BV31" s="4" t="str">
        <f t="shared" si="16"/>
        <v/>
      </c>
      <c r="BW31" s="4" t="str">
        <f t="shared" si="17"/>
        <v/>
      </c>
      <c r="BX31" s="4" t="str">
        <f t="shared" si="18"/>
        <v/>
      </c>
    </row>
    <row r="32" spans="1:76" x14ac:dyDescent="0.3">
      <c r="BR32" s="3">
        <v>9</v>
      </c>
      <c r="BS32" s="4" t="str">
        <f t="shared" si="13"/>
        <v/>
      </c>
      <c r="BT32" s="4" t="str">
        <f t="shared" si="14"/>
        <v/>
      </c>
      <c r="BU32" s="4" t="str">
        <f t="shared" si="15"/>
        <v/>
      </c>
      <c r="BV32" s="4" t="str">
        <f t="shared" si="16"/>
        <v/>
      </c>
      <c r="BW32" s="4" t="str">
        <f t="shared" si="17"/>
        <v/>
      </c>
      <c r="BX32" s="4" t="str">
        <f t="shared" si="18"/>
        <v/>
      </c>
    </row>
    <row r="33" spans="3:76" x14ac:dyDescent="0.3">
      <c r="BR33" s="3">
        <v>10</v>
      </c>
      <c r="BS33" s="4" t="str">
        <f t="shared" si="13"/>
        <v/>
      </c>
      <c r="BT33" s="4" t="str">
        <f t="shared" si="14"/>
        <v/>
      </c>
      <c r="BU33" s="4" t="str">
        <f t="shared" si="15"/>
        <v/>
      </c>
      <c r="BV33" s="4" t="str">
        <f t="shared" si="16"/>
        <v/>
      </c>
      <c r="BW33" s="4" t="str">
        <f t="shared" si="17"/>
        <v/>
      </c>
      <c r="BX33" s="4" t="str">
        <f t="shared" si="18"/>
        <v/>
      </c>
    </row>
    <row r="34" spans="3:76" x14ac:dyDescent="0.3">
      <c r="BR34" s="3">
        <v>11</v>
      </c>
      <c r="BS34" s="4" t="str">
        <f t="shared" si="13"/>
        <v/>
      </c>
      <c r="BT34" s="4" t="str">
        <f t="shared" si="14"/>
        <v/>
      </c>
      <c r="BU34" s="4" t="str">
        <f t="shared" si="15"/>
        <v/>
      </c>
      <c r="BV34" s="4" t="str">
        <f t="shared" si="16"/>
        <v/>
      </c>
      <c r="BW34" s="4" t="str">
        <f t="shared" si="17"/>
        <v/>
      </c>
      <c r="BX34" s="4" t="str">
        <f t="shared" si="18"/>
        <v/>
      </c>
    </row>
    <row r="35" spans="3:76" x14ac:dyDescent="0.3">
      <c r="BR35" s="3">
        <v>12</v>
      </c>
      <c r="BS35" s="4" t="str">
        <f t="shared" si="13"/>
        <v/>
      </c>
      <c r="BT35" s="4" t="str">
        <f t="shared" si="14"/>
        <v/>
      </c>
      <c r="BU35" s="4" t="str">
        <f t="shared" si="15"/>
        <v/>
      </c>
      <c r="BV35" s="4" t="str">
        <f t="shared" si="16"/>
        <v/>
      </c>
      <c r="BW35" s="4" t="str">
        <f t="shared" si="17"/>
        <v/>
      </c>
      <c r="BX35" s="4" t="str">
        <f t="shared" si="18"/>
        <v/>
      </c>
    </row>
    <row r="36" spans="3:76" x14ac:dyDescent="0.3">
      <c r="BR36" s="3">
        <v>13</v>
      </c>
      <c r="BS36" s="4" t="str">
        <f t="shared" si="13"/>
        <v/>
      </c>
      <c r="BT36" s="4" t="str">
        <f t="shared" si="14"/>
        <v/>
      </c>
      <c r="BU36" s="4" t="str">
        <f t="shared" si="15"/>
        <v/>
      </c>
      <c r="BV36" s="4" t="str">
        <f t="shared" si="16"/>
        <v/>
      </c>
      <c r="BW36" s="4" t="str">
        <f t="shared" si="17"/>
        <v/>
      </c>
      <c r="BX36" s="4" t="str">
        <f t="shared" si="18"/>
        <v/>
      </c>
    </row>
    <row r="37" spans="3:76" x14ac:dyDescent="0.3">
      <c r="BR37" s="3">
        <v>14</v>
      </c>
      <c r="BS37" s="4" t="str">
        <f t="shared" si="13"/>
        <v/>
      </c>
      <c r="BT37" s="4" t="str">
        <f t="shared" si="14"/>
        <v/>
      </c>
      <c r="BU37" s="4" t="str">
        <f t="shared" si="15"/>
        <v/>
      </c>
      <c r="BV37" s="4" t="str">
        <f t="shared" si="16"/>
        <v/>
      </c>
      <c r="BW37" s="4" t="str">
        <f t="shared" si="17"/>
        <v/>
      </c>
      <c r="BX37" s="4" t="str">
        <f t="shared" si="18"/>
        <v/>
      </c>
    </row>
    <row r="38" spans="3:76" x14ac:dyDescent="0.3">
      <c r="C38" s="4"/>
      <c r="I38" s="4"/>
      <c r="J38" s="4"/>
      <c r="BR38" s="3">
        <v>15</v>
      </c>
      <c r="BS38" s="4" t="str">
        <f t="shared" si="13"/>
        <v/>
      </c>
      <c r="BT38" s="4" t="str">
        <f t="shared" si="14"/>
        <v/>
      </c>
      <c r="BU38" s="4" t="str">
        <f t="shared" si="15"/>
        <v/>
      </c>
      <c r="BV38" s="4" t="str">
        <f t="shared" si="16"/>
        <v/>
      </c>
      <c r="BW38" s="4" t="str">
        <f t="shared" si="17"/>
        <v/>
      </c>
      <c r="BX38" s="4" t="str">
        <f t="shared" si="18"/>
        <v/>
      </c>
    </row>
    <row r="39" spans="3:76" x14ac:dyDescent="0.3">
      <c r="BR39" s="3">
        <v>16</v>
      </c>
      <c r="BS39" s="4" t="str">
        <f t="shared" si="13"/>
        <v/>
      </c>
      <c r="BT39" s="4" t="str">
        <f t="shared" si="14"/>
        <v/>
      </c>
      <c r="BU39" s="4" t="str">
        <f t="shared" si="15"/>
        <v/>
      </c>
      <c r="BV39" s="4" t="str">
        <f t="shared" si="16"/>
        <v/>
      </c>
      <c r="BW39" s="4" t="str">
        <f t="shared" si="17"/>
        <v/>
      </c>
      <c r="BX39" s="4" t="str">
        <f t="shared" si="18"/>
        <v/>
      </c>
    </row>
    <row r="40" spans="3:76" x14ac:dyDescent="0.3">
      <c r="BR40" s="3">
        <v>17</v>
      </c>
      <c r="BS40" s="4" t="str">
        <f t="shared" si="13"/>
        <v/>
      </c>
      <c r="BT40" s="4" t="str">
        <f t="shared" si="14"/>
        <v/>
      </c>
      <c r="BU40" s="4" t="str">
        <f t="shared" si="15"/>
        <v/>
      </c>
      <c r="BV40" s="4" t="str">
        <f t="shared" si="16"/>
        <v/>
      </c>
      <c r="BW40" s="4" t="str">
        <f t="shared" si="17"/>
        <v/>
      </c>
      <c r="BX40" s="4" t="str">
        <f t="shared" si="18"/>
        <v/>
      </c>
    </row>
    <row r="41" spans="3:76" x14ac:dyDescent="0.3">
      <c r="Q41" s="4"/>
      <c r="R41" s="4"/>
      <c r="BR41" s="3">
        <v>18</v>
      </c>
      <c r="BS41" s="4" t="str">
        <f t="shared" si="13"/>
        <v/>
      </c>
      <c r="BT41" s="4" t="str">
        <f t="shared" si="14"/>
        <v/>
      </c>
      <c r="BU41" s="4" t="str">
        <f t="shared" si="15"/>
        <v/>
      </c>
      <c r="BV41" s="4" t="str">
        <f t="shared" si="16"/>
        <v/>
      </c>
      <c r="BW41" s="4" t="str">
        <f t="shared" si="17"/>
        <v/>
      </c>
      <c r="BX41" s="4" t="str">
        <f t="shared" si="18"/>
        <v/>
      </c>
    </row>
    <row r="42" spans="3:76" x14ac:dyDescent="0.3">
      <c r="BR42" s="3">
        <v>19</v>
      </c>
      <c r="BS42" s="4" t="str">
        <f t="shared" si="13"/>
        <v/>
      </c>
      <c r="BT42" s="4" t="str">
        <f t="shared" si="14"/>
        <v/>
      </c>
      <c r="BU42" s="4" t="str">
        <f t="shared" si="15"/>
        <v/>
      </c>
      <c r="BV42" s="4" t="str">
        <f t="shared" si="16"/>
        <v/>
      </c>
      <c r="BW42" s="4" t="str">
        <f t="shared" si="17"/>
        <v/>
      </c>
      <c r="BX42" s="4" t="str">
        <f t="shared" si="18"/>
        <v/>
      </c>
    </row>
    <row r="43" spans="3:76" x14ac:dyDescent="0.3">
      <c r="BR43" s="3">
        <v>20</v>
      </c>
      <c r="BS43" s="4" t="str">
        <f t="shared" si="13"/>
        <v/>
      </c>
      <c r="BT43" s="4" t="str">
        <f t="shared" si="14"/>
        <v/>
      </c>
      <c r="BU43" s="4" t="str">
        <f t="shared" si="15"/>
        <v/>
      </c>
      <c r="BV43" s="4" t="str">
        <f t="shared" si="16"/>
        <v/>
      </c>
      <c r="BW43" s="4" t="str">
        <f t="shared" si="17"/>
        <v/>
      </c>
      <c r="BX43" s="4" t="str">
        <f t="shared" si="18"/>
        <v/>
      </c>
    </row>
    <row r="44" spans="3:76" x14ac:dyDescent="0.3">
      <c r="BR44" s="3">
        <v>21</v>
      </c>
      <c r="BS44" s="4" t="str">
        <f t="shared" si="13"/>
        <v/>
      </c>
      <c r="BT44" s="4" t="str">
        <f t="shared" si="14"/>
        <v/>
      </c>
      <c r="BU44" s="4" t="str">
        <f t="shared" si="15"/>
        <v/>
      </c>
      <c r="BV44" s="4" t="str">
        <f t="shared" si="16"/>
        <v/>
      </c>
      <c r="BW44" s="4" t="str">
        <f t="shared" si="17"/>
        <v/>
      </c>
      <c r="BX44" s="4" t="str">
        <f t="shared" si="18"/>
        <v/>
      </c>
    </row>
    <row r="45" spans="3:76" x14ac:dyDescent="0.3">
      <c r="BR45" s="3">
        <v>22</v>
      </c>
      <c r="BS45" s="4" t="str">
        <f t="shared" si="13"/>
        <v/>
      </c>
      <c r="BT45" s="4" t="str">
        <f t="shared" si="14"/>
        <v/>
      </c>
      <c r="BU45" s="4" t="str">
        <f t="shared" si="15"/>
        <v/>
      </c>
      <c r="BV45" s="4" t="str">
        <f t="shared" si="16"/>
        <v/>
      </c>
      <c r="BW45" s="4" t="str">
        <f t="shared" si="17"/>
        <v/>
      </c>
      <c r="BX45" s="4" t="str">
        <f t="shared" si="18"/>
        <v/>
      </c>
    </row>
  </sheetData>
  <mergeCells count="11">
    <mergeCell ref="Q3:R3"/>
    <mergeCell ref="G3:H3"/>
    <mergeCell ref="I3:J3"/>
    <mergeCell ref="K3:L3"/>
    <mergeCell ref="M3:N3"/>
    <mergeCell ref="O3:P3"/>
    <mergeCell ref="AT3:AT4"/>
    <mergeCell ref="AQ3:AQ4"/>
    <mergeCell ref="AP3:AP4"/>
    <mergeCell ref="AS3:AS4"/>
    <mergeCell ref="AR3:AR4"/>
  </mergeCells>
  <conditionalFormatting sqref="H5:H26 J5:J26 L5:L26 N5:N26">
    <cfRule type="cellIs" dxfId="0" priority="1" operator="equal">
      <formula>0</formula>
    </cfRule>
  </conditionalFormatting>
  <hyperlinks>
    <hyperlink ref="AG5" r:id="rId1" display="https://exceljet.net/excel-functions/excel-trunc-function"/>
    <hyperlink ref="AJ5" r:id="rId2" display="https://exceljet.net/excel-functions/excel-trunc-function"/>
    <hyperlink ref="AG6" r:id="rId3" display="https://exceljet.net/excel-functions/excel-trunc-function"/>
    <hyperlink ref="AJ6" r:id="rId4" display="https://exceljet.net/excel-functions/excel-trunc-function"/>
    <hyperlink ref="AG7" r:id="rId5" display="https://exceljet.net/excel-functions/excel-trunc-function"/>
    <hyperlink ref="AJ7" r:id="rId6" display="https://exceljet.net/excel-functions/excel-trunc-function"/>
    <hyperlink ref="AG8" r:id="rId7" display="https://exceljet.net/excel-functions/excel-trunc-function"/>
    <hyperlink ref="AG9" r:id="rId8" display="https://exceljet.net/excel-functions/excel-trunc-function"/>
    <hyperlink ref="AG10" r:id="rId9" display="https://exceljet.net/excel-functions/excel-trunc-function"/>
    <hyperlink ref="AG11" r:id="rId10" display="https://exceljet.net/excel-functions/excel-trunc-function"/>
    <hyperlink ref="AG12" r:id="rId11" display="https://exceljet.net/excel-functions/excel-trunc-function"/>
    <hyperlink ref="AG13" r:id="rId12" display="https://exceljet.net/excel-functions/excel-trunc-function"/>
    <hyperlink ref="AG14" r:id="rId13" display="https://exceljet.net/excel-functions/excel-trunc-function"/>
    <hyperlink ref="AG15" r:id="rId14" display="https://exceljet.net/excel-functions/excel-trunc-function"/>
    <hyperlink ref="AG16" r:id="rId15" display="https://exceljet.net/excel-functions/excel-trunc-function"/>
    <hyperlink ref="AG17" r:id="rId16" display="https://exceljet.net/excel-functions/excel-trunc-function"/>
    <hyperlink ref="AG18" r:id="rId17" display="https://exceljet.net/excel-functions/excel-trunc-function"/>
    <hyperlink ref="AG19" r:id="rId18" display="https://exceljet.net/excel-functions/excel-trunc-function"/>
    <hyperlink ref="AG20" r:id="rId19" display="https://exceljet.net/excel-functions/excel-trunc-function"/>
    <hyperlink ref="AG21" r:id="rId20" display="https://exceljet.net/excel-functions/excel-trunc-function"/>
    <hyperlink ref="AG22" r:id="rId21" display="https://exceljet.net/excel-functions/excel-trunc-function"/>
    <hyperlink ref="AG23" r:id="rId22" display="https://exceljet.net/excel-functions/excel-trunc-function"/>
    <hyperlink ref="AG24" r:id="rId23" display="https://exceljet.net/excel-functions/excel-trunc-function"/>
    <hyperlink ref="AG25" r:id="rId24" display="https://exceljet.net/excel-functions/excel-trunc-function"/>
    <hyperlink ref="AG26" r:id="rId25" display="https://exceljet.net/excel-functions/excel-trunc-function"/>
    <hyperlink ref="AJ8" r:id="rId26" display="https://exceljet.net/excel-functions/excel-trunc-function"/>
    <hyperlink ref="AJ9" r:id="rId27" display="https://exceljet.net/excel-functions/excel-trunc-function"/>
    <hyperlink ref="AJ10" r:id="rId28" display="https://exceljet.net/excel-functions/excel-trunc-function"/>
    <hyperlink ref="AJ11" r:id="rId29" display="https://exceljet.net/excel-functions/excel-trunc-function"/>
    <hyperlink ref="AJ12" r:id="rId30" display="https://exceljet.net/excel-functions/excel-trunc-function"/>
    <hyperlink ref="AJ13" r:id="rId31" display="https://exceljet.net/excel-functions/excel-trunc-function"/>
    <hyperlink ref="AJ14" r:id="rId32" display="https://exceljet.net/excel-functions/excel-trunc-function"/>
    <hyperlink ref="AJ15" r:id="rId33" display="https://exceljet.net/excel-functions/excel-trunc-function"/>
    <hyperlink ref="AJ16" r:id="rId34" display="https://exceljet.net/excel-functions/excel-trunc-function"/>
    <hyperlink ref="AJ17" r:id="rId35" display="https://exceljet.net/excel-functions/excel-trunc-function"/>
    <hyperlink ref="AJ18" r:id="rId36" display="https://exceljet.net/excel-functions/excel-trunc-function"/>
    <hyperlink ref="AJ19" r:id="rId37" display="https://exceljet.net/excel-functions/excel-trunc-function"/>
    <hyperlink ref="AJ20" r:id="rId38" display="https://exceljet.net/excel-functions/excel-trunc-function"/>
    <hyperlink ref="AJ21" r:id="rId39" display="https://exceljet.net/excel-functions/excel-trunc-function"/>
    <hyperlink ref="AJ22" r:id="rId40" display="https://exceljet.net/excel-functions/excel-trunc-function"/>
    <hyperlink ref="AJ23" r:id="rId41" display="https://exceljet.net/excel-functions/excel-trunc-function"/>
    <hyperlink ref="AJ24" r:id="rId42" display="https://exceljet.net/excel-functions/excel-trunc-function"/>
    <hyperlink ref="AJ25" r:id="rId43" display="https://exceljet.net/excel-functions/excel-trunc-function"/>
    <hyperlink ref="AJ26" r:id="rId44" display="https://exceljet.net/excel-functions/excel-trunc-function"/>
    <hyperlink ref="AL5" r:id="rId45" display="https://exceljet.net/excel-functions/excel-trunc-function"/>
    <hyperlink ref="AL6:AL26" r:id="rId46" display="https://exceljet.net/excel-functions/excel-trunc-function"/>
    <hyperlink ref="AO5" r:id="rId47" display="https://exceljet.net/excel-functions/excel-trunc-function"/>
    <hyperlink ref="AO6:AO26" r:id="rId48" display="https://exceljet.net/excel-functions/excel-trunc-function"/>
  </hyperlinks>
  <pageMargins left="0.7" right="0.7" top="0.75" bottom="0.75" header="0.3" footer="0.3"/>
  <pageSetup paperSize="9" orientation="portrait" r:id="rId49"/>
  <ignoredErrors>
    <ignoredError sqref="AK5" formula="1"/>
  </ignoredErrors>
  <drawing r:id="rId50"/>
  <legacyDrawing r:id="rId5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2" name="Button 1">
              <controlPr defaultSize="0" print="0" autoFill="0" autoPict="0" macro="[0]!Reset">
                <anchor moveWithCells="1" sizeWithCells="1">
                  <from>
                    <xdr:col>47</xdr:col>
                    <xdr:colOff>594360</xdr:colOff>
                    <xdr:row>2</xdr:row>
                    <xdr:rowOff>0</xdr:rowOff>
                  </from>
                  <to>
                    <xdr:col>50</xdr:col>
                    <xdr:colOff>7620</xdr:colOff>
                    <xdr:row>2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3" name="Button 2">
              <controlPr defaultSize="0" print="0" autoFill="0" autoPict="0" macro="[0]!Bull_Receive_50_Per_Stock">
                <anchor moveWithCells="1" sizeWithCells="1">
                  <from>
                    <xdr:col>48</xdr:col>
                    <xdr:colOff>0</xdr:colOff>
                    <xdr:row>4</xdr:row>
                    <xdr:rowOff>0</xdr:rowOff>
                  </from>
                  <to>
                    <xdr:col>50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4" name="Button 3">
              <controlPr defaultSize="0" print="0" autoFill="0" autoPict="0" macro="[0]!_xludf.Sum">
                <anchor moveWithCells="1" sizeWithCells="1">
                  <from>
                    <xdr:col>51</xdr:col>
                    <xdr:colOff>0</xdr:colOff>
                    <xdr:row>2</xdr:row>
                    <xdr:rowOff>0</xdr:rowOff>
                  </from>
                  <to>
                    <xdr:col>53</xdr:col>
                    <xdr:colOff>22860</xdr:colOff>
                    <xdr:row>2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5" name="Button 5">
              <controlPr defaultSize="0" print="0" autoFill="0" autoPict="0" macro="[0]!rent">
                <anchor moveWithCells="1" sizeWithCells="1">
                  <from>
                    <xdr:col>51</xdr:col>
                    <xdr:colOff>0</xdr:colOff>
                    <xdr:row>4</xdr:row>
                    <xdr:rowOff>0</xdr:rowOff>
                  </from>
                  <to>
                    <xdr:col>53</xdr:col>
                    <xdr:colOff>7620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6" name="Button 6">
              <controlPr defaultSize="0" print="0" autoFill="0" autoPict="0" macro="[0]!Start">
                <anchor moveWithCells="1" sizeWithCells="1">
                  <from>
                    <xdr:col>51</xdr:col>
                    <xdr:colOff>0</xdr:colOff>
                    <xdr:row>8</xdr:row>
                    <xdr:rowOff>0</xdr:rowOff>
                  </from>
                  <to>
                    <xdr:col>53</xdr:col>
                    <xdr:colOff>7620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7" name="Button 7">
              <controlPr defaultSize="0" print="0" autoFill="0" autoPict="0" macro="[0]!Sell_all">
                <anchor moveWithCells="1" sizeWithCells="1">
                  <from>
                    <xdr:col>48</xdr:col>
                    <xdr:colOff>0</xdr:colOff>
                    <xdr:row>8</xdr:row>
                    <xdr:rowOff>7620</xdr:rowOff>
                  </from>
                  <to>
                    <xdr:col>50</xdr:col>
                    <xdr:colOff>7620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8" name="Button 8">
              <controlPr defaultSize="0" print="0" autoFill="0" autoPict="0" macro="[0]!Sell">
                <anchor moveWithCells="1" sizeWithCells="1">
                  <from>
                    <xdr:col>50</xdr:col>
                    <xdr:colOff>601980</xdr:colOff>
                    <xdr:row>12</xdr:row>
                    <xdr:rowOff>7620</xdr:rowOff>
                  </from>
                  <to>
                    <xdr:col>52</xdr:col>
                    <xdr:colOff>601980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9" name="Button 9">
              <controlPr defaultSize="0" print="0" autoFill="0" autoPict="0" macro="[0]!Pay_10_for_each_stock">
                <anchor moveWithCells="1" sizeWithCells="1">
                  <from>
                    <xdr:col>48</xdr:col>
                    <xdr:colOff>0</xdr:colOff>
                    <xdr:row>12</xdr:row>
                    <xdr:rowOff>0</xdr:rowOff>
                  </from>
                  <to>
                    <xdr:col>50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0" name="Button 11">
              <controlPr defaultSize="0" print="0" autoFill="0" autoPict="0" macro="[0]!General_Repair">
                <anchor moveWithCells="1" sizeWithCells="1">
                  <from>
                    <xdr:col>48</xdr:col>
                    <xdr:colOff>0</xdr:colOff>
                    <xdr:row>15</xdr:row>
                    <xdr:rowOff>228600</xdr:rowOff>
                  </from>
                  <to>
                    <xdr:col>50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1" name="Button 12">
              <controlPr defaultSize="0" print="0" autoFill="0" autoPict="0" macro="[0]!Pay_10_percent_of_sum">
                <anchor moveWithCells="1" sizeWithCells="1">
                  <from>
                    <xdr:col>48</xdr:col>
                    <xdr:colOff>0</xdr:colOff>
                    <xdr:row>20</xdr:row>
                    <xdr:rowOff>0</xdr:rowOff>
                  </from>
                  <to>
                    <xdr:col>49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2" name="Button 13">
              <controlPr defaultSize="0" print="0" autoFill="0" autoPict="0" macro="[0]!Sell_Double_Price">
                <anchor moveWithCells="1" sizeWithCells="1">
                  <from>
                    <xdr:col>48</xdr:col>
                    <xdr:colOff>0</xdr:colOff>
                    <xdr:row>24</xdr:row>
                    <xdr:rowOff>7620</xdr:rowOff>
                  </from>
                  <to>
                    <xdr:col>50</xdr:col>
                    <xdr:colOff>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2"/>
  <dimension ref="A1:CN263"/>
  <sheetViews>
    <sheetView topLeftCell="A217" workbookViewId="0">
      <pane xSplit="2" topLeftCell="C1" activePane="topRight" state="frozen"/>
      <selection pane="topRight" activeCell="E263" sqref="E263"/>
    </sheetView>
  </sheetViews>
  <sheetFormatPr defaultRowHeight="14.4" x14ac:dyDescent="0.3"/>
  <cols>
    <col min="14" max="14" width="9.44140625" customWidth="1"/>
    <col min="15" max="15" width="9" customWidth="1"/>
  </cols>
  <sheetData>
    <row r="1" spans="1:92" ht="15" x14ac:dyDescent="0.25">
      <c r="D1" s="109" t="s">
        <v>31</v>
      </c>
      <c r="E1" s="109"/>
      <c r="F1" s="109"/>
      <c r="G1" s="109"/>
      <c r="H1" s="109"/>
      <c r="L1" s="109" t="s">
        <v>30</v>
      </c>
      <c r="M1" s="109"/>
      <c r="N1" s="109"/>
      <c r="O1" s="109"/>
      <c r="P1" s="109"/>
      <c r="T1" s="109" t="s">
        <v>32</v>
      </c>
      <c r="U1" s="109"/>
      <c r="V1" s="109"/>
      <c r="W1" s="109"/>
      <c r="X1" s="109"/>
      <c r="AB1" s="109" t="s">
        <v>33</v>
      </c>
      <c r="AC1" s="109"/>
      <c r="AD1" s="109"/>
      <c r="AE1" s="109"/>
      <c r="AF1" s="109"/>
      <c r="AJ1" s="109" t="s">
        <v>34</v>
      </c>
      <c r="AK1" s="109"/>
      <c r="AL1" s="109"/>
      <c r="AM1" s="109"/>
      <c r="AN1" s="109"/>
      <c r="AR1" s="109" t="s">
        <v>35</v>
      </c>
      <c r="AS1" s="109"/>
      <c r="AT1" s="109"/>
      <c r="AU1" s="109"/>
      <c r="AV1" s="109"/>
      <c r="AZ1" s="109" t="s">
        <v>36</v>
      </c>
      <c r="BA1" s="109"/>
      <c r="BB1" s="109"/>
      <c r="BC1" s="109"/>
      <c r="BD1" s="109"/>
    </row>
    <row r="2" spans="1:92" ht="15" x14ac:dyDescent="0.25">
      <c r="C2" s="47"/>
      <c r="D2" s="45">
        <v>0</v>
      </c>
      <c r="E2" s="45">
        <v>1</v>
      </c>
      <c r="F2" s="45">
        <v>2</v>
      </c>
      <c r="G2" s="45">
        <v>3</v>
      </c>
      <c r="H2" s="45">
        <v>4</v>
      </c>
      <c r="K2" s="47"/>
      <c r="L2" s="45">
        <v>0</v>
      </c>
      <c r="M2" s="45">
        <v>1</v>
      </c>
      <c r="N2" s="45">
        <v>2</v>
      </c>
      <c r="O2" s="45">
        <v>3</v>
      </c>
      <c r="P2" s="45">
        <v>4</v>
      </c>
      <c r="S2" s="47"/>
      <c r="T2" s="72">
        <v>0</v>
      </c>
      <c r="U2" s="72">
        <v>1</v>
      </c>
      <c r="V2" s="72">
        <v>2</v>
      </c>
      <c r="W2" s="72">
        <v>3</v>
      </c>
      <c r="X2" s="72">
        <v>4</v>
      </c>
      <c r="AA2" s="47"/>
      <c r="AB2" s="72">
        <v>0</v>
      </c>
      <c r="AC2" s="72">
        <v>1</v>
      </c>
      <c r="AD2" s="72">
        <v>2</v>
      </c>
      <c r="AE2" s="72">
        <v>3</v>
      </c>
      <c r="AF2" s="72">
        <v>4</v>
      </c>
      <c r="AI2" s="47"/>
      <c r="AJ2" s="72">
        <v>0</v>
      </c>
      <c r="AK2" s="72">
        <v>1</v>
      </c>
      <c r="AL2" s="72">
        <v>2</v>
      </c>
      <c r="AM2" s="72">
        <v>3</v>
      </c>
      <c r="AN2" s="72">
        <v>4</v>
      </c>
      <c r="AQ2" s="47"/>
      <c r="AR2" s="72">
        <v>0</v>
      </c>
      <c r="AS2" s="72">
        <v>1</v>
      </c>
      <c r="AT2" s="72">
        <v>2</v>
      </c>
      <c r="AU2" s="72">
        <v>3</v>
      </c>
      <c r="AV2" s="72">
        <v>4</v>
      </c>
      <c r="AY2" s="47"/>
      <c r="AZ2" s="72">
        <v>0</v>
      </c>
      <c r="BA2" s="72">
        <v>1</v>
      </c>
      <c r="BB2" s="72">
        <v>2</v>
      </c>
      <c r="BC2" s="72">
        <v>3</v>
      </c>
      <c r="BD2" s="72">
        <v>4</v>
      </c>
    </row>
    <row r="3" spans="1:92" x14ac:dyDescent="0.3">
      <c r="A3" s="110">
        <v>1</v>
      </c>
      <c r="B3" s="110"/>
      <c r="C3" s="45">
        <v>1</v>
      </c>
      <c r="D3" s="42">
        <v>4</v>
      </c>
      <c r="E3" s="42" t="s">
        <v>29</v>
      </c>
      <c r="F3" s="42" t="s">
        <v>29</v>
      </c>
      <c r="G3" s="42" t="s">
        <v>29</v>
      </c>
      <c r="H3" s="42" t="s">
        <v>29</v>
      </c>
      <c r="K3" s="45">
        <v>1</v>
      </c>
      <c r="L3" s="42">
        <v>8</v>
      </c>
      <c r="M3" s="42" t="s">
        <v>29</v>
      </c>
      <c r="N3" s="42" t="s">
        <v>29</v>
      </c>
      <c r="O3" s="42" t="s">
        <v>29</v>
      </c>
      <c r="P3" s="42" t="s">
        <v>29</v>
      </c>
      <c r="S3" s="72">
        <v>1</v>
      </c>
      <c r="T3" s="42">
        <v>20</v>
      </c>
      <c r="U3" s="42" t="s">
        <v>29</v>
      </c>
      <c r="V3" s="42" t="s">
        <v>29</v>
      </c>
      <c r="W3" s="42" t="s">
        <v>29</v>
      </c>
      <c r="X3" s="42" t="s">
        <v>29</v>
      </c>
      <c r="AA3" s="72">
        <v>1</v>
      </c>
      <c r="AB3" s="42">
        <v>60</v>
      </c>
      <c r="AC3" s="42" t="s">
        <v>29</v>
      </c>
      <c r="AD3" s="42" t="s">
        <v>29</v>
      </c>
      <c r="AE3" s="42" t="s">
        <v>29</v>
      </c>
      <c r="AF3" s="42" t="s">
        <v>29</v>
      </c>
      <c r="AI3" s="72">
        <v>1</v>
      </c>
      <c r="AJ3" s="42">
        <v>180</v>
      </c>
      <c r="AK3" s="42" t="s">
        <v>29</v>
      </c>
      <c r="AL3" s="42" t="s">
        <v>29</v>
      </c>
      <c r="AM3" s="42" t="s">
        <v>29</v>
      </c>
      <c r="AN3" s="42" t="s">
        <v>29</v>
      </c>
      <c r="AQ3" s="72">
        <v>1</v>
      </c>
      <c r="AR3" s="42">
        <v>320</v>
      </c>
      <c r="AS3" s="42" t="s">
        <v>29</v>
      </c>
      <c r="AT3" s="42" t="s">
        <v>29</v>
      </c>
      <c r="AU3" s="42" t="s">
        <v>29</v>
      </c>
      <c r="AV3" s="42" t="s">
        <v>29</v>
      </c>
      <c r="AY3" s="72">
        <v>1</v>
      </c>
      <c r="AZ3" s="42">
        <v>500</v>
      </c>
      <c r="BA3" s="42" t="s">
        <v>29</v>
      </c>
      <c r="BB3" s="42" t="s">
        <v>29</v>
      </c>
      <c r="BC3" s="42" t="s">
        <v>29</v>
      </c>
      <c r="BD3" s="42" t="s">
        <v>29</v>
      </c>
    </row>
    <row r="4" spans="1:92" x14ac:dyDescent="0.3">
      <c r="A4" s="110"/>
      <c r="B4" s="110"/>
      <c r="C4" s="45">
        <v>2</v>
      </c>
      <c r="D4" s="42">
        <v>4</v>
      </c>
      <c r="E4" s="42">
        <v>1</v>
      </c>
      <c r="F4" s="42" t="s">
        <v>29</v>
      </c>
      <c r="G4" s="42" t="s">
        <v>29</v>
      </c>
      <c r="H4" s="42" t="s">
        <v>29</v>
      </c>
      <c r="I4" s="4"/>
      <c r="J4" s="4"/>
      <c r="K4" s="45">
        <v>2</v>
      </c>
      <c r="L4" s="42">
        <v>8</v>
      </c>
      <c r="M4" s="42">
        <v>3</v>
      </c>
      <c r="N4" s="42" t="s">
        <v>29</v>
      </c>
      <c r="O4" s="42" t="s">
        <v>29</v>
      </c>
      <c r="P4" s="42" t="s">
        <v>29</v>
      </c>
      <c r="S4" s="72">
        <v>2</v>
      </c>
      <c r="T4" s="42">
        <v>20</v>
      </c>
      <c r="U4" s="42">
        <v>8</v>
      </c>
      <c r="V4" s="42" t="s">
        <v>29</v>
      </c>
      <c r="W4" s="42" t="s">
        <v>29</v>
      </c>
      <c r="X4" s="42" t="s">
        <v>29</v>
      </c>
      <c r="AA4" s="72">
        <v>2</v>
      </c>
      <c r="AB4" s="42">
        <v>60</v>
      </c>
      <c r="AC4" s="42">
        <v>20</v>
      </c>
      <c r="AD4" s="42" t="s">
        <v>29</v>
      </c>
      <c r="AE4" s="42" t="s">
        <v>29</v>
      </c>
      <c r="AF4" s="42" t="s">
        <v>29</v>
      </c>
      <c r="AI4" s="72">
        <v>2</v>
      </c>
      <c r="AJ4" s="42">
        <v>180</v>
      </c>
      <c r="AK4" s="42">
        <v>78</v>
      </c>
      <c r="AL4" s="42" t="s">
        <v>29</v>
      </c>
      <c r="AM4" s="42" t="s">
        <v>29</v>
      </c>
      <c r="AN4" s="42" t="s">
        <v>29</v>
      </c>
      <c r="AQ4" s="72">
        <v>2</v>
      </c>
      <c r="AR4" s="42">
        <v>320</v>
      </c>
      <c r="AS4" s="42">
        <v>140</v>
      </c>
      <c r="AT4" s="42" t="s">
        <v>29</v>
      </c>
      <c r="AU4" s="42" t="s">
        <v>29</v>
      </c>
      <c r="AV4" s="42" t="s">
        <v>29</v>
      </c>
      <c r="AY4" s="72">
        <v>2</v>
      </c>
      <c r="AZ4" s="42">
        <v>500</v>
      </c>
      <c r="BA4" s="42">
        <v>218</v>
      </c>
      <c r="BB4" s="42" t="s">
        <v>29</v>
      </c>
      <c r="BC4" s="42" t="s">
        <v>29</v>
      </c>
      <c r="BD4" s="42" t="s">
        <v>29</v>
      </c>
    </row>
    <row r="5" spans="1:92" ht="15" customHeight="1" x14ac:dyDescent="0.3">
      <c r="A5" s="110"/>
      <c r="B5" s="110"/>
      <c r="C5" s="45">
        <v>3</v>
      </c>
      <c r="D5" s="42">
        <v>3</v>
      </c>
      <c r="E5" s="42">
        <v>2</v>
      </c>
      <c r="F5" s="42" t="s">
        <v>29</v>
      </c>
      <c r="G5" s="42" t="s">
        <v>29</v>
      </c>
      <c r="H5" s="42" t="s">
        <v>29</v>
      </c>
      <c r="I5" s="4"/>
      <c r="J5" s="4"/>
      <c r="K5" s="45">
        <v>3</v>
      </c>
      <c r="L5" s="42">
        <v>6</v>
      </c>
      <c r="M5" s="42">
        <v>4</v>
      </c>
      <c r="N5" s="42" t="s">
        <v>29</v>
      </c>
      <c r="O5" s="42" t="s">
        <v>29</v>
      </c>
      <c r="P5" s="42" t="s">
        <v>29</v>
      </c>
      <c r="S5" s="72">
        <v>3</v>
      </c>
      <c r="T5" s="42">
        <v>18</v>
      </c>
      <c r="U5" s="42">
        <v>10</v>
      </c>
      <c r="V5" s="42" t="s">
        <v>29</v>
      </c>
      <c r="W5" s="42" t="s">
        <v>29</v>
      </c>
      <c r="X5" s="42" t="s">
        <v>29</v>
      </c>
      <c r="AA5" s="72">
        <v>3</v>
      </c>
      <c r="AB5" s="42">
        <v>60</v>
      </c>
      <c r="AC5" s="42">
        <v>34</v>
      </c>
      <c r="AD5" s="42" t="s">
        <v>29</v>
      </c>
      <c r="AE5" s="42" t="s">
        <v>29</v>
      </c>
      <c r="AF5" s="42" t="s">
        <v>29</v>
      </c>
      <c r="AI5" s="72">
        <v>3</v>
      </c>
      <c r="AJ5" s="42">
        <v>180</v>
      </c>
      <c r="AK5" s="42">
        <v>104</v>
      </c>
      <c r="AL5" s="42" t="s">
        <v>29</v>
      </c>
      <c r="AM5" s="42" t="s">
        <v>29</v>
      </c>
      <c r="AN5" s="42" t="s">
        <v>29</v>
      </c>
      <c r="AQ5" s="72">
        <v>3</v>
      </c>
      <c r="AR5" s="42">
        <v>318</v>
      </c>
      <c r="AS5" s="42">
        <v>186</v>
      </c>
      <c r="AT5" s="42" t="s">
        <v>29</v>
      </c>
      <c r="AU5" s="42" t="s">
        <v>29</v>
      </c>
      <c r="AV5" s="42" t="s">
        <v>29</v>
      </c>
      <c r="AY5" s="72">
        <v>3</v>
      </c>
      <c r="AZ5" s="42">
        <v>498</v>
      </c>
      <c r="BA5" s="42">
        <v>290</v>
      </c>
      <c r="BB5" s="42" t="s">
        <v>29</v>
      </c>
      <c r="BC5" s="42" t="s">
        <v>29</v>
      </c>
      <c r="BD5" s="42" t="s">
        <v>29</v>
      </c>
    </row>
    <row r="6" spans="1:92" x14ac:dyDescent="0.3">
      <c r="A6" s="110"/>
      <c r="B6" s="110"/>
      <c r="C6" s="45">
        <v>4</v>
      </c>
      <c r="D6" s="42">
        <v>4</v>
      </c>
      <c r="E6" s="42">
        <v>3</v>
      </c>
      <c r="F6" s="42">
        <v>2</v>
      </c>
      <c r="G6" s="42" t="s">
        <v>29</v>
      </c>
      <c r="H6" s="52" t="s">
        <v>29</v>
      </c>
      <c r="I6" s="41"/>
      <c r="J6" s="41"/>
      <c r="K6" s="45">
        <v>4</v>
      </c>
      <c r="L6" s="42">
        <v>8</v>
      </c>
      <c r="M6" s="42">
        <v>3</v>
      </c>
      <c r="N6" s="42">
        <v>2</v>
      </c>
      <c r="O6" s="42" t="s">
        <v>29</v>
      </c>
      <c r="P6" s="42" t="s">
        <v>29</v>
      </c>
      <c r="S6" s="72">
        <v>4</v>
      </c>
      <c r="T6" s="42">
        <v>20</v>
      </c>
      <c r="U6" s="42">
        <v>12</v>
      </c>
      <c r="V6" s="42">
        <v>6</v>
      </c>
      <c r="W6" s="42" t="s">
        <v>29</v>
      </c>
      <c r="X6" s="42" t="s">
        <v>29</v>
      </c>
      <c r="AA6" s="72">
        <v>4</v>
      </c>
      <c r="AB6" s="42">
        <v>60</v>
      </c>
      <c r="AC6" s="42">
        <v>39</v>
      </c>
      <c r="AD6" s="42">
        <v>22</v>
      </c>
      <c r="AE6" s="42" t="s">
        <v>29</v>
      </c>
      <c r="AF6" s="42" t="s">
        <v>29</v>
      </c>
      <c r="AI6" s="72">
        <v>4</v>
      </c>
      <c r="AJ6" s="42">
        <v>180</v>
      </c>
      <c r="AK6" s="42">
        <v>117</v>
      </c>
      <c r="AL6" s="42">
        <v>66</v>
      </c>
      <c r="AM6" s="42" t="s">
        <v>29</v>
      </c>
      <c r="AN6" s="42" t="s">
        <v>29</v>
      </c>
      <c r="AQ6" s="72">
        <v>4</v>
      </c>
      <c r="AR6" s="42">
        <v>320</v>
      </c>
      <c r="AS6" s="42">
        <v>210</v>
      </c>
      <c r="AT6" s="42">
        <v>120</v>
      </c>
      <c r="AU6" s="42" t="s">
        <v>29</v>
      </c>
      <c r="AV6" s="42" t="s">
        <v>29</v>
      </c>
      <c r="AY6" s="72">
        <v>4</v>
      </c>
      <c r="AZ6" s="42">
        <v>500</v>
      </c>
      <c r="BA6" s="42">
        <v>327</v>
      </c>
      <c r="BB6" s="42">
        <v>186</v>
      </c>
      <c r="BC6" s="42" t="s">
        <v>29</v>
      </c>
      <c r="BD6" s="42" t="s">
        <v>29</v>
      </c>
    </row>
    <row r="7" spans="1:92" x14ac:dyDescent="0.3">
      <c r="A7" s="110"/>
      <c r="B7" s="110"/>
      <c r="C7" s="45">
        <v>5</v>
      </c>
      <c r="D7" s="42">
        <v>5</v>
      </c>
      <c r="E7" s="42">
        <v>4</v>
      </c>
      <c r="F7" s="42">
        <v>3</v>
      </c>
      <c r="G7" s="52">
        <v>5</v>
      </c>
      <c r="H7" s="52" t="s">
        <v>29</v>
      </c>
      <c r="I7" s="41"/>
      <c r="J7" s="41"/>
      <c r="K7" s="45">
        <v>5</v>
      </c>
      <c r="L7" s="42">
        <v>5</v>
      </c>
      <c r="M7" s="42">
        <v>4</v>
      </c>
      <c r="N7" s="42">
        <v>3</v>
      </c>
      <c r="O7" s="42" t="s">
        <v>29</v>
      </c>
      <c r="P7" s="42" t="s">
        <v>29</v>
      </c>
      <c r="S7" s="72">
        <v>5</v>
      </c>
      <c r="T7" s="42">
        <v>20</v>
      </c>
      <c r="U7" s="42">
        <v>12</v>
      </c>
      <c r="V7" s="42">
        <v>9</v>
      </c>
      <c r="W7" s="42" t="s">
        <v>29</v>
      </c>
      <c r="X7" s="42" t="s">
        <v>29</v>
      </c>
      <c r="AA7" s="72">
        <v>5</v>
      </c>
      <c r="AB7" s="42">
        <v>60</v>
      </c>
      <c r="AC7" s="42">
        <v>40</v>
      </c>
      <c r="AD7" s="42">
        <v>27</v>
      </c>
      <c r="AE7" s="42" t="s">
        <v>29</v>
      </c>
      <c r="AF7" s="42" t="s">
        <v>29</v>
      </c>
      <c r="AI7" s="72">
        <v>5</v>
      </c>
      <c r="AJ7" s="42">
        <v>180</v>
      </c>
      <c r="AK7" s="42">
        <v>124</v>
      </c>
      <c r="AL7" s="42">
        <v>81</v>
      </c>
      <c r="AM7" s="42" t="s">
        <v>29</v>
      </c>
      <c r="AN7" s="42" t="s">
        <v>29</v>
      </c>
      <c r="AQ7" s="72">
        <v>5</v>
      </c>
      <c r="AR7" s="42">
        <v>320</v>
      </c>
      <c r="AS7" s="42">
        <v>224</v>
      </c>
      <c r="AT7" s="42">
        <v>144</v>
      </c>
      <c r="AU7" s="42" t="s">
        <v>29</v>
      </c>
      <c r="AV7" s="42" t="s">
        <v>29</v>
      </c>
      <c r="AY7" s="72">
        <v>5</v>
      </c>
      <c r="AZ7" s="42">
        <v>500</v>
      </c>
      <c r="BA7" s="42">
        <v>348</v>
      </c>
      <c r="BB7" s="42">
        <v>225</v>
      </c>
      <c r="BC7" s="42" t="s">
        <v>29</v>
      </c>
      <c r="BD7" s="42" t="s">
        <v>29</v>
      </c>
    </row>
    <row r="8" spans="1:92" x14ac:dyDescent="0.3">
      <c r="A8" s="110"/>
      <c r="B8" s="110"/>
      <c r="C8" s="45">
        <v>6</v>
      </c>
      <c r="D8" s="42">
        <v>6</v>
      </c>
      <c r="E8" s="42">
        <v>5</v>
      </c>
      <c r="F8" s="48">
        <v>4</v>
      </c>
      <c r="G8" s="42">
        <v>3</v>
      </c>
      <c r="H8" s="52" t="s">
        <v>29</v>
      </c>
      <c r="I8" s="41"/>
      <c r="J8" s="41"/>
      <c r="K8" s="45">
        <v>6</v>
      </c>
      <c r="L8" s="42">
        <v>6</v>
      </c>
      <c r="M8" s="42">
        <v>5</v>
      </c>
      <c r="N8" s="42">
        <v>4</v>
      </c>
      <c r="O8" s="42">
        <v>3</v>
      </c>
      <c r="P8" s="42" t="s">
        <v>29</v>
      </c>
      <c r="S8" s="72">
        <v>6</v>
      </c>
      <c r="T8" s="42">
        <v>18</v>
      </c>
      <c r="U8" s="42">
        <v>10</v>
      </c>
      <c r="V8" s="42">
        <v>8</v>
      </c>
      <c r="W8" s="42">
        <v>6</v>
      </c>
      <c r="X8" s="42" t="s">
        <v>29</v>
      </c>
      <c r="AA8" s="72">
        <v>6</v>
      </c>
      <c r="AB8" s="42">
        <v>60</v>
      </c>
      <c r="AC8" s="42">
        <v>40</v>
      </c>
      <c r="AD8" s="42">
        <v>28</v>
      </c>
      <c r="AE8" s="42">
        <v>18</v>
      </c>
      <c r="AF8" s="42" t="s">
        <v>29</v>
      </c>
      <c r="AI8" s="72">
        <v>6</v>
      </c>
      <c r="AJ8" s="42">
        <v>180</v>
      </c>
      <c r="AK8" s="42">
        <v>130</v>
      </c>
      <c r="AL8" s="42">
        <v>88</v>
      </c>
      <c r="AM8" s="42">
        <v>54</v>
      </c>
      <c r="AN8" s="42" t="s">
        <v>29</v>
      </c>
      <c r="AQ8" s="72">
        <v>6</v>
      </c>
      <c r="AR8" s="42">
        <v>318</v>
      </c>
      <c r="AS8" s="42">
        <v>230</v>
      </c>
      <c r="AT8" s="42">
        <v>160</v>
      </c>
      <c r="AU8" s="42">
        <v>99</v>
      </c>
      <c r="AV8" s="42" t="s">
        <v>29</v>
      </c>
      <c r="AY8" s="72">
        <v>6</v>
      </c>
      <c r="AZ8" s="42">
        <v>498</v>
      </c>
      <c r="BA8" s="42">
        <v>360</v>
      </c>
      <c r="BB8" s="42">
        <v>248</v>
      </c>
      <c r="BC8" s="42">
        <v>156</v>
      </c>
      <c r="BD8" s="42" t="s">
        <v>29</v>
      </c>
    </row>
    <row r="9" spans="1:92" x14ac:dyDescent="0.3">
      <c r="A9" s="110"/>
      <c r="B9" s="110"/>
      <c r="C9" s="45">
        <v>7</v>
      </c>
      <c r="D9" s="42">
        <v>7</v>
      </c>
      <c r="E9" s="42">
        <v>6</v>
      </c>
      <c r="F9" s="48">
        <v>5</v>
      </c>
      <c r="G9" s="52">
        <v>4</v>
      </c>
      <c r="H9" s="51" t="s">
        <v>29</v>
      </c>
      <c r="I9" s="41"/>
      <c r="J9" s="41"/>
      <c r="K9" s="45">
        <v>7</v>
      </c>
      <c r="L9" s="42">
        <v>7</v>
      </c>
      <c r="M9" s="42">
        <v>6</v>
      </c>
      <c r="N9" s="42">
        <v>5</v>
      </c>
      <c r="O9" s="42">
        <v>4</v>
      </c>
      <c r="P9" s="42" t="s">
        <v>29</v>
      </c>
      <c r="S9" s="72">
        <v>7</v>
      </c>
      <c r="T9" s="42">
        <v>14</v>
      </c>
      <c r="U9" s="42">
        <v>12</v>
      </c>
      <c r="V9" s="42">
        <v>10</v>
      </c>
      <c r="W9" s="42">
        <v>4</v>
      </c>
      <c r="X9" s="42" t="s">
        <v>29</v>
      </c>
      <c r="AA9" s="72">
        <v>7</v>
      </c>
      <c r="AB9" s="42">
        <v>56</v>
      </c>
      <c r="AC9" s="42">
        <v>42</v>
      </c>
      <c r="AD9" s="42">
        <v>30</v>
      </c>
      <c r="AE9" s="42">
        <v>20</v>
      </c>
      <c r="AF9" s="42" t="s">
        <v>29</v>
      </c>
      <c r="AI9" s="72">
        <v>7</v>
      </c>
      <c r="AJ9" s="42">
        <v>175</v>
      </c>
      <c r="AK9" s="42">
        <v>132</v>
      </c>
      <c r="AL9" s="42">
        <v>95</v>
      </c>
      <c r="AM9" s="42">
        <v>64</v>
      </c>
      <c r="AN9" s="42" t="s">
        <v>29</v>
      </c>
      <c r="AQ9" s="72">
        <v>7</v>
      </c>
      <c r="AR9" s="42">
        <v>315</v>
      </c>
      <c r="AS9" s="42">
        <v>240</v>
      </c>
      <c r="AT9" s="42">
        <v>170</v>
      </c>
      <c r="AU9" s="42">
        <v>112</v>
      </c>
      <c r="AV9" s="42" t="s">
        <v>29</v>
      </c>
      <c r="AY9" s="72">
        <v>7</v>
      </c>
      <c r="AZ9" s="42">
        <v>497</v>
      </c>
      <c r="BA9" s="42">
        <v>372</v>
      </c>
      <c r="BB9" s="42">
        <v>265</v>
      </c>
      <c r="BC9" s="42">
        <v>176</v>
      </c>
      <c r="BD9" s="42" t="s">
        <v>29</v>
      </c>
    </row>
    <row r="10" spans="1:92" x14ac:dyDescent="0.3">
      <c r="A10" s="110"/>
      <c r="B10" s="110"/>
      <c r="C10" s="45">
        <v>8</v>
      </c>
      <c r="D10" s="42">
        <v>8</v>
      </c>
      <c r="E10" s="42">
        <v>7</v>
      </c>
      <c r="F10" s="48">
        <v>6</v>
      </c>
      <c r="G10" s="52">
        <v>5</v>
      </c>
      <c r="H10" s="52">
        <v>4</v>
      </c>
      <c r="I10" s="41"/>
      <c r="J10" s="41"/>
      <c r="K10" s="45">
        <v>8</v>
      </c>
      <c r="L10" s="42">
        <v>8</v>
      </c>
      <c r="M10" s="42">
        <v>7</v>
      </c>
      <c r="N10" s="42">
        <v>6</v>
      </c>
      <c r="O10" s="42">
        <v>5</v>
      </c>
      <c r="P10" s="42">
        <v>4</v>
      </c>
      <c r="S10" s="72">
        <v>8</v>
      </c>
      <c r="T10" s="42">
        <v>16</v>
      </c>
      <c r="U10" s="42">
        <v>14</v>
      </c>
      <c r="V10" s="42">
        <v>6</v>
      </c>
      <c r="W10" s="42">
        <v>5</v>
      </c>
      <c r="X10" s="42">
        <v>4</v>
      </c>
      <c r="AA10" s="72">
        <v>8</v>
      </c>
      <c r="AB10" s="42">
        <v>56</v>
      </c>
      <c r="AC10" s="42">
        <v>42</v>
      </c>
      <c r="AD10" s="42">
        <v>30</v>
      </c>
      <c r="AE10" s="42">
        <v>20</v>
      </c>
      <c r="AF10" s="42">
        <v>12</v>
      </c>
      <c r="AI10" s="72">
        <v>8</v>
      </c>
      <c r="AJ10" s="42">
        <v>176</v>
      </c>
      <c r="AK10" s="42">
        <v>133</v>
      </c>
      <c r="AL10" s="42">
        <v>96</v>
      </c>
      <c r="AM10" s="42">
        <v>70</v>
      </c>
      <c r="AN10" s="42">
        <v>44</v>
      </c>
      <c r="AQ10" s="72">
        <v>8</v>
      </c>
      <c r="AR10" s="42">
        <v>320</v>
      </c>
      <c r="AS10" s="42">
        <v>245</v>
      </c>
      <c r="AT10" s="42">
        <v>180</v>
      </c>
      <c r="AU10" s="42">
        <v>125</v>
      </c>
      <c r="AV10" s="42">
        <v>80</v>
      </c>
      <c r="AY10" s="72">
        <v>8</v>
      </c>
      <c r="AZ10" s="42">
        <v>496</v>
      </c>
      <c r="BA10" s="42">
        <v>378</v>
      </c>
      <c r="BB10" s="42">
        <v>276</v>
      </c>
      <c r="BC10" s="42">
        <v>195</v>
      </c>
      <c r="BD10" s="42">
        <v>124</v>
      </c>
    </row>
    <row r="11" spans="1:92" x14ac:dyDescent="0.3">
      <c r="A11" s="110"/>
      <c r="B11" s="110"/>
      <c r="C11" s="45">
        <v>9</v>
      </c>
      <c r="D11" s="42">
        <v>9</v>
      </c>
      <c r="E11" s="42">
        <v>8</v>
      </c>
      <c r="F11" s="48">
        <v>7</v>
      </c>
      <c r="G11" s="52">
        <v>6</v>
      </c>
      <c r="H11" s="52">
        <v>5</v>
      </c>
      <c r="I11" s="41"/>
      <c r="J11" s="41"/>
      <c r="K11" s="45">
        <v>9</v>
      </c>
      <c r="L11" s="42">
        <v>9</v>
      </c>
      <c r="M11" s="42">
        <v>8</v>
      </c>
      <c r="N11" s="42">
        <v>7</v>
      </c>
      <c r="O11" s="42">
        <v>6</v>
      </c>
      <c r="P11" s="42">
        <v>5</v>
      </c>
      <c r="S11" s="72">
        <v>9</v>
      </c>
      <c r="T11" s="42">
        <v>18</v>
      </c>
      <c r="U11" s="42">
        <v>8</v>
      </c>
      <c r="V11" s="42">
        <v>7</v>
      </c>
      <c r="W11" s="42">
        <v>6</v>
      </c>
      <c r="X11" s="42">
        <v>5</v>
      </c>
      <c r="AA11" s="72">
        <v>9</v>
      </c>
      <c r="AB11" s="42">
        <v>54</v>
      </c>
      <c r="AC11" s="42">
        <v>40</v>
      </c>
      <c r="AD11" s="42">
        <v>35</v>
      </c>
      <c r="AE11" s="42">
        <v>24</v>
      </c>
      <c r="AF11" s="42">
        <v>15</v>
      </c>
      <c r="AI11" s="72">
        <v>9</v>
      </c>
      <c r="AJ11" s="42">
        <v>180</v>
      </c>
      <c r="AK11" s="42">
        <v>136</v>
      </c>
      <c r="AL11" s="42">
        <v>105</v>
      </c>
      <c r="AM11" s="42">
        <v>72</v>
      </c>
      <c r="AN11" s="42">
        <v>50</v>
      </c>
      <c r="AQ11" s="72">
        <v>9</v>
      </c>
      <c r="AR11" s="42">
        <v>315</v>
      </c>
      <c r="AS11" s="42">
        <v>248</v>
      </c>
      <c r="AT11" s="42">
        <v>182</v>
      </c>
      <c r="AU11" s="42">
        <v>132</v>
      </c>
      <c r="AV11" s="42">
        <v>85</v>
      </c>
      <c r="AY11" s="72">
        <v>9</v>
      </c>
      <c r="AZ11" s="42">
        <v>495</v>
      </c>
      <c r="BA11" s="42">
        <v>384</v>
      </c>
      <c r="BB11" s="42">
        <v>287</v>
      </c>
      <c r="BC11" s="42">
        <v>204</v>
      </c>
      <c r="BD11" s="42">
        <v>135</v>
      </c>
    </row>
    <row r="13" spans="1:92" ht="15" x14ac:dyDescent="0.25">
      <c r="D13" s="109" t="s">
        <v>31</v>
      </c>
      <c r="E13" s="109"/>
      <c r="F13" s="109"/>
      <c r="G13" s="109"/>
      <c r="H13" s="109"/>
      <c r="L13" s="109" t="s">
        <v>30</v>
      </c>
      <c r="M13" s="109"/>
      <c r="N13" s="109"/>
      <c r="O13" s="109"/>
      <c r="P13" s="109"/>
      <c r="T13" s="109" t="s">
        <v>32</v>
      </c>
      <c r="U13" s="109"/>
      <c r="V13" s="109"/>
      <c r="W13" s="109"/>
      <c r="X13" s="109"/>
      <c r="AB13" s="109" t="s">
        <v>33</v>
      </c>
      <c r="AC13" s="109"/>
      <c r="AD13" s="109"/>
      <c r="AE13" s="109"/>
      <c r="AF13" s="109"/>
      <c r="AJ13" s="109" t="s">
        <v>34</v>
      </c>
      <c r="AK13" s="109"/>
      <c r="AL13" s="109"/>
      <c r="AM13" s="109"/>
      <c r="AN13" s="109"/>
      <c r="AR13" s="109" t="s">
        <v>35</v>
      </c>
      <c r="AS13" s="109"/>
      <c r="AT13" s="109"/>
      <c r="AU13" s="109"/>
      <c r="AV13" s="109"/>
      <c r="AZ13" s="109" t="s">
        <v>36</v>
      </c>
      <c r="BA13" s="109"/>
      <c r="BB13" s="109"/>
      <c r="BC13" s="109"/>
      <c r="BD13" s="109"/>
    </row>
    <row r="14" spans="1:92" ht="15" x14ac:dyDescent="0.25">
      <c r="C14" s="47"/>
      <c r="D14" s="44">
        <v>0</v>
      </c>
      <c r="E14" s="44">
        <v>1</v>
      </c>
      <c r="F14" s="44">
        <v>2</v>
      </c>
      <c r="G14" s="44">
        <v>3</v>
      </c>
      <c r="H14" s="44">
        <v>4</v>
      </c>
      <c r="K14" s="47"/>
      <c r="L14" s="44">
        <v>0</v>
      </c>
      <c r="M14" s="44">
        <v>1</v>
      </c>
      <c r="N14" s="44">
        <v>2</v>
      </c>
      <c r="O14" s="44">
        <v>3</v>
      </c>
      <c r="P14" s="44">
        <v>4</v>
      </c>
      <c r="Q14" s="47"/>
      <c r="R14" s="47"/>
      <c r="S14" s="47"/>
      <c r="T14" s="98">
        <v>0</v>
      </c>
      <c r="U14" s="98">
        <v>1</v>
      </c>
      <c r="V14" s="98">
        <v>2</v>
      </c>
      <c r="W14" s="98">
        <v>3</v>
      </c>
      <c r="X14" s="98">
        <v>4</v>
      </c>
      <c r="AA14" s="47"/>
      <c r="AB14" s="98">
        <v>0</v>
      </c>
      <c r="AC14" s="98">
        <v>1</v>
      </c>
      <c r="AD14" s="98">
        <v>2</v>
      </c>
      <c r="AE14" s="98">
        <v>3</v>
      </c>
      <c r="AF14" s="98">
        <v>4</v>
      </c>
      <c r="AI14" s="47"/>
      <c r="AJ14" s="98">
        <v>0</v>
      </c>
      <c r="AK14" s="98">
        <v>1</v>
      </c>
      <c r="AL14" s="98">
        <v>2</v>
      </c>
      <c r="AM14" s="98">
        <v>3</v>
      </c>
      <c r="AN14" s="98">
        <v>4</v>
      </c>
      <c r="AQ14" s="47"/>
      <c r="AR14" s="98">
        <v>0</v>
      </c>
      <c r="AS14" s="98">
        <v>1</v>
      </c>
      <c r="AT14" s="98">
        <v>2</v>
      </c>
      <c r="AU14" s="98">
        <v>3</v>
      </c>
      <c r="AV14" s="98">
        <v>4</v>
      </c>
      <c r="AY14" s="47"/>
      <c r="AZ14" s="98">
        <v>0</v>
      </c>
      <c r="BA14" s="98">
        <v>1</v>
      </c>
      <c r="BB14" s="98">
        <v>2</v>
      </c>
      <c r="BC14" s="98">
        <v>3</v>
      </c>
      <c r="BD14" s="98">
        <v>4</v>
      </c>
    </row>
    <row r="15" spans="1:92" x14ac:dyDescent="0.3">
      <c r="A15" s="110">
        <v>2</v>
      </c>
      <c r="B15" s="110"/>
      <c r="C15" s="44">
        <v>1</v>
      </c>
      <c r="D15" s="42">
        <v>8</v>
      </c>
      <c r="E15" s="42" t="s">
        <v>29</v>
      </c>
      <c r="F15" s="42" t="s">
        <v>29</v>
      </c>
      <c r="G15" s="42" t="s">
        <v>29</v>
      </c>
      <c r="H15" s="42" t="s">
        <v>29</v>
      </c>
      <c r="K15" s="44">
        <v>1</v>
      </c>
      <c r="L15" s="42">
        <v>16</v>
      </c>
      <c r="M15" s="42" t="s">
        <v>29</v>
      </c>
      <c r="N15" s="42" t="s">
        <v>29</v>
      </c>
      <c r="O15" s="42" t="s">
        <v>29</v>
      </c>
      <c r="P15" s="42" t="s">
        <v>29</v>
      </c>
      <c r="Q15" s="44"/>
      <c r="R15" s="4"/>
      <c r="S15" s="98">
        <v>1</v>
      </c>
      <c r="T15" s="42">
        <v>40</v>
      </c>
      <c r="U15" s="42" t="s">
        <v>29</v>
      </c>
      <c r="V15" s="42" t="s">
        <v>29</v>
      </c>
      <c r="W15" s="42" t="s">
        <v>29</v>
      </c>
      <c r="X15" s="42" t="s">
        <v>29</v>
      </c>
      <c r="AA15" s="98">
        <v>1</v>
      </c>
      <c r="AB15" s="42">
        <v>120</v>
      </c>
      <c r="AC15" s="42" t="s">
        <v>29</v>
      </c>
      <c r="AD15" s="42" t="s">
        <v>29</v>
      </c>
      <c r="AE15" s="42" t="s">
        <v>29</v>
      </c>
      <c r="AF15" s="42" t="s">
        <v>29</v>
      </c>
      <c r="AI15" s="98">
        <v>1</v>
      </c>
      <c r="AJ15" s="42">
        <v>360</v>
      </c>
      <c r="AK15" s="42" t="s">
        <v>29</v>
      </c>
      <c r="AL15" s="42" t="s">
        <v>29</v>
      </c>
      <c r="AM15" s="42" t="s">
        <v>29</v>
      </c>
      <c r="AN15" s="42" t="s">
        <v>29</v>
      </c>
      <c r="AQ15" s="98">
        <v>1</v>
      </c>
      <c r="AR15" s="42">
        <v>640</v>
      </c>
      <c r="AS15" s="42" t="s">
        <v>29</v>
      </c>
      <c r="AT15" s="42" t="s">
        <v>29</v>
      </c>
      <c r="AU15" s="42" t="s">
        <v>29</v>
      </c>
      <c r="AV15" s="42" t="s">
        <v>29</v>
      </c>
      <c r="AY15" s="98">
        <v>1</v>
      </c>
      <c r="AZ15" s="42">
        <v>900</v>
      </c>
      <c r="BA15" s="42" t="s">
        <v>29</v>
      </c>
      <c r="BB15" s="42" t="s">
        <v>29</v>
      </c>
      <c r="BC15" s="42" t="s">
        <v>29</v>
      </c>
      <c r="BD15" s="42" t="s">
        <v>29</v>
      </c>
    </row>
    <row r="16" spans="1:92" ht="14.4" customHeight="1" x14ac:dyDescent="0.3">
      <c r="A16" s="110"/>
      <c r="B16" s="110"/>
      <c r="C16" s="44">
        <v>2</v>
      </c>
      <c r="D16" s="42">
        <v>8</v>
      </c>
      <c r="E16" s="42">
        <v>3</v>
      </c>
      <c r="F16" s="42" t="s">
        <v>29</v>
      </c>
      <c r="G16" s="42" t="s">
        <v>29</v>
      </c>
      <c r="H16" s="42" t="s">
        <v>29</v>
      </c>
      <c r="I16" s="4"/>
      <c r="J16" s="4"/>
      <c r="K16" s="44">
        <v>2</v>
      </c>
      <c r="L16" s="42">
        <v>16</v>
      </c>
      <c r="M16" s="42">
        <v>7</v>
      </c>
      <c r="N16" s="42" t="s">
        <v>29</v>
      </c>
      <c r="O16" s="42" t="s">
        <v>29</v>
      </c>
      <c r="P16" s="42" t="s">
        <v>29</v>
      </c>
      <c r="Q16" s="44"/>
      <c r="R16" s="4"/>
      <c r="S16" s="98">
        <v>2</v>
      </c>
      <c r="T16" s="42">
        <v>40</v>
      </c>
      <c r="U16" s="42">
        <v>17</v>
      </c>
      <c r="V16" s="42" t="s">
        <v>29</v>
      </c>
      <c r="W16" s="42" t="s">
        <v>29</v>
      </c>
      <c r="X16" s="42" t="s">
        <v>29</v>
      </c>
      <c r="AA16" s="98">
        <v>2</v>
      </c>
      <c r="AB16" s="42">
        <v>120</v>
      </c>
      <c r="AC16" s="42">
        <v>52</v>
      </c>
      <c r="AD16" s="42" t="s">
        <v>29</v>
      </c>
      <c r="AE16" s="42" t="s">
        <v>29</v>
      </c>
      <c r="AF16" s="42" t="s">
        <v>29</v>
      </c>
      <c r="AI16" s="98">
        <v>2</v>
      </c>
      <c r="AJ16" s="42">
        <v>360</v>
      </c>
      <c r="AK16" s="42">
        <v>157</v>
      </c>
      <c r="AL16" s="42" t="s">
        <v>29</v>
      </c>
      <c r="AM16" s="42" t="s">
        <v>29</v>
      </c>
      <c r="AN16" s="42" t="s">
        <v>29</v>
      </c>
      <c r="AQ16" s="98">
        <v>2</v>
      </c>
      <c r="AR16" s="42">
        <v>640</v>
      </c>
      <c r="AS16" s="42">
        <v>280</v>
      </c>
      <c r="AT16" s="42" t="s">
        <v>29</v>
      </c>
      <c r="AU16" s="42" t="s">
        <v>29</v>
      </c>
      <c r="AV16" s="42" t="s">
        <v>29</v>
      </c>
      <c r="AY16" s="98">
        <v>2</v>
      </c>
      <c r="AZ16" s="42">
        <v>900</v>
      </c>
      <c r="BA16" s="42">
        <v>393</v>
      </c>
      <c r="BB16" s="42" t="s">
        <v>29</v>
      </c>
      <c r="BC16" s="42" t="s">
        <v>29</v>
      </c>
      <c r="BD16" s="42" t="s">
        <v>29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ht="14.4" customHeight="1" x14ac:dyDescent="0.3">
      <c r="A17" s="110"/>
      <c r="B17" s="110"/>
      <c r="C17" s="44">
        <v>3</v>
      </c>
      <c r="D17" s="42">
        <v>6</v>
      </c>
      <c r="E17" s="42">
        <v>4</v>
      </c>
      <c r="F17" s="42" t="s">
        <v>29</v>
      </c>
      <c r="G17" s="42" t="s">
        <v>29</v>
      </c>
      <c r="H17" s="42" t="s">
        <v>29</v>
      </c>
      <c r="I17" s="4"/>
      <c r="J17" s="4"/>
      <c r="K17" s="44">
        <v>3</v>
      </c>
      <c r="L17" s="42">
        <v>15</v>
      </c>
      <c r="M17" s="42">
        <v>8</v>
      </c>
      <c r="N17" s="42" t="s">
        <v>29</v>
      </c>
      <c r="O17" s="42" t="s">
        <v>29</v>
      </c>
      <c r="P17" s="42" t="s">
        <v>29</v>
      </c>
      <c r="Q17" s="44"/>
      <c r="R17" s="4"/>
      <c r="S17" s="98">
        <v>3</v>
      </c>
      <c r="T17" s="42">
        <v>39</v>
      </c>
      <c r="U17" s="42">
        <v>22</v>
      </c>
      <c r="V17" s="42" t="s">
        <v>29</v>
      </c>
      <c r="W17" s="42" t="s">
        <v>29</v>
      </c>
      <c r="X17" s="42" t="s">
        <v>29</v>
      </c>
      <c r="AA17" s="98">
        <v>3</v>
      </c>
      <c r="AB17" s="42">
        <v>120</v>
      </c>
      <c r="AC17" s="42">
        <v>70</v>
      </c>
      <c r="AD17" s="42" t="s">
        <v>29</v>
      </c>
      <c r="AE17" s="42" t="s">
        <v>29</v>
      </c>
      <c r="AF17" s="42" t="s">
        <v>29</v>
      </c>
      <c r="AI17" s="98">
        <v>3</v>
      </c>
      <c r="AJ17" s="42">
        <v>360</v>
      </c>
      <c r="AK17" s="42">
        <v>210</v>
      </c>
      <c r="AL17" s="42" t="s">
        <v>29</v>
      </c>
      <c r="AM17" s="42" t="s">
        <v>29</v>
      </c>
      <c r="AN17" s="42" t="s">
        <v>29</v>
      </c>
      <c r="AQ17" s="98">
        <v>3</v>
      </c>
      <c r="AR17" s="42">
        <v>639</v>
      </c>
      <c r="AS17" s="42">
        <v>372</v>
      </c>
      <c r="AT17" s="42" t="s">
        <v>29</v>
      </c>
      <c r="AU17" s="42" t="s">
        <v>29</v>
      </c>
      <c r="AV17" s="42" t="s">
        <v>29</v>
      </c>
      <c r="AY17" s="98">
        <v>3</v>
      </c>
      <c r="AZ17" s="42">
        <v>900</v>
      </c>
      <c r="BA17" s="42">
        <v>524</v>
      </c>
      <c r="BB17" s="42" t="s">
        <v>29</v>
      </c>
      <c r="BC17" s="42" t="s">
        <v>29</v>
      </c>
      <c r="BD17" s="42" t="s">
        <v>29</v>
      </c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</row>
    <row r="18" spans="1:92" ht="14.4" customHeight="1" x14ac:dyDescent="0.3">
      <c r="A18" s="110"/>
      <c r="B18" s="110"/>
      <c r="C18" s="44">
        <v>4</v>
      </c>
      <c r="D18" s="42">
        <v>8</v>
      </c>
      <c r="E18" s="42">
        <v>3</v>
      </c>
      <c r="F18" s="42">
        <v>2</v>
      </c>
      <c r="G18" s="42" t="s">
        <v>29</v>
      </c>
      <c r="H18" s="42" t="s">
        <v>29</v>
      </c>
      <c r="I18" s="41"/>
      <c r="J18" s="41"/>
      <c r="K18" s="44">
        <v>4</v>
      </c>
      <c r="L18" s="42">
        <v>16</v>
      </c>
      <c r="M18" s="42">
        <v>9</v>
      </c>
      <c r="N18" s="42">
        <v>6</v>
      </c>
      <c r="O18" s="42" t="s">
        <v>29</v>
      </c>
      <c r="P18" s="42" t="s">
        <v>29</v>
      </c>
      <c r="Q18" s="44"/>
      <c r="R18" s="46"/>
      <c r="S18" s="98">
        <v>4</v>
      </c>
      <c r="T18" s="42">
        <v>40</v>
      </c>
      <c r="U18" s="42">
        <v>24</v>
      </c>
      <c r="V18" s="42">
        <v>14</v>
      </c>
      <c r="W18" s="42" t="s">
        <v>29</v>
      </c>
      <c r="X18" s="42" t="s">
        <v>29</v>
      </c>
      <c r="AA18" s="98">
        <v>4</v>
      </c>
      <c r="AB18" s="42">
        <v>120</v>
      </c>
      <c r="AC18" s="42">
        <v>78</v>
      </c>
      <c r="AD18" s="42">
        <v>44</v>
      </c>
      <c r="AE18" s="42" t="s">
        <v>29</v>
      </c>
      <c r="AF18" s="42" t="s">
        <v>29</v>
      </c>
      <c r="AI18" s="98">
        <v>4</v>
      </c>
      <c r="AJ18" s="42">
        <v>360</v>
      </c>
      <c r="AK18" s="42">
        <v>234</v>
      </c>
      <c r="AL18" s="42">
        <v>134</v>
      </c>
      <c r="AM18" s="42" t="s">
        <v>29</v>
      </c>
      <c r="AN18" s="42" t="s">
        <v>29</v>
      </c>
      <c r="AQ18" s="98">
        <v>4</v>
      </c>
      <c r="AR18" s="42">
        <v>640</v>
      </c>
      <c r="AS18" s="42">
        <v>420</v>
      </c>
      <c r="AT18" s="42">
        <v>240</v>
      </c>
      <c r="AU18" s="42" t="s">
        <v>29</v>
      </c>
      <c r="AV18" s="42" t="s">
        <v>29</v>
      </c>
      <c r="AY18" s="98">
        <v>4</v>
      </c>
      <c r="AZ18" s="42">
        <v>900</v>
      </c>
      <c r="BA18" s="42">
        <v>588</v>
      </c>
      <c r="BB18" s="42">
        <v>336</v>
      </c>
      <c r="BC18" s="42" t="s">
        <v>29</v>
      </c>
      <c r="BD18" s="42" t="s">
        <v>29</v>
      </c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</row>
    <row r="19" spans="1:92" ht="14.4" customHeight="1" x14ac:dyDescent="0.3">
      <c r="A19" s="110"/>
      <c r="B19" s="110"/>
      <c r="C19" s="44">
        <v>5</v>
      </c>
      <c r="D19" s="42">
        <v>5</v>
      </c>
      <c r="E19" s="42">
        <v>4</v>
      </c>
      <c r="F19" s="42">
        <v>3</v>
      </c>
      <c r="G19" s="42" t="s">
        <v>29</v>
      </c>
      <c r="H19" s="42" t="s">
        <v>29</v>
      </c>
      <c r="I19" s="41"/>
      <c r="J19" s="41"/>
      <c r="K19" s="44">
        <v>5</v>
      </c>
      <c r="L19" s="42">
        <v>15</v>
      </c>
      <c r="M19" s="42">
        <v>8</v>
      </c>
      <c r="N19" s="42">
        <v>6</v>
      </c>
      <c r="O19" s="42" t="s">
        <v>29</v>
      </c>
      <c r="P19" s="42" t="s">
        <v>29</v>
      </c>
      <c r="Q19" s="44"/>
      <c r="R19" s="46"/>
      <c r="S19" s="98">
        <v>5</v>
      </c>
      <c r="T19" s="42">
        <v>40</v>
      </c>
      <c r="U19" s="42">
        <v>28</v>
      </c>
      <c r="V19" s="42">
        <v>18</v>
      </c>
      <c r="W19" s="42" t="s">
        <v>29</v>
      </c>
      <c r="X19" s="42" t="s">
        <v>29</v>
      </c>
      <c r="AA19" s="98">
        <v>5</v>
      </c>
      <c r="AB19" s="42">
        <v>120</v>
      </c>
      <c r="AC19" s="42">
        <v>84</v>
      </c>
      <c r="AD19" s="42">
        <v>54</v>
      </c>
      <c r="AE19" s="42" t="s">
        <v>29</v>
      </c>
      <c r="AF19" s="42" t="s">
        <v>29</v>
      </c>
      <c r="AI19" s="98">
        <v>5</v>
      </c>
      <c r="AJ19" s="42">
        <v>360</v>
      </c>
      <c r="AK19" s="42">
        <v>252</v>
      </c>
      <c r="AL19" s="42">
        <v>162</v>
      </c>
      <c r="AM19" s="42" t="s">
        <v>29</v>
      </c>
      <c r="AN19" s="42" t="s">
        <v>29</v>
      </c>
      <c r="AQ19" s="98">
        <v>5</v>
      </c>
      <c r="AR19" s="42">
        <v>640</v>
      </c>
      <c r="AS19" s="42">
        <v>440</v>
      </c>
      <c r="AT19" s="42">
        <v>288</v>
      </c>
      <c r="AU19" s="42" t="s">
        <v>29</v>
      </c>
      <c r="AV19" s="42" t="s">
        <v>29</v>
      </c>
      <c r="AY19" s="98">
        <v>5</v>
      </c>
      <c r="AZ19" s="42">
        <v>900</v>
      </c>
      <c r="BA19" s="42">
        <v>628</v>
      </c>
      <c r="BB19" s="42">
        <v>405</v>
      </c>
      <c r="BC19" s="42" t="s">
        <v>29</v>
      </c>
      <c r="BD19" s="42" t="s">
        <v>29</v>
      </c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</row>
    <row r="20" spans="1:92" ht="14.4" customHeight="1" x14ac:dyDescent="0.3">
      <c r="A20" s="110"/>
      <c r="B20" s="110"/>
      <c r="C20" s="44">
        <v>6</v>
      </c>
      <c r="D20" s="42">
        <v>6</v>
      </c>
      <c r="E20" s="42">
        <v>5</v>
      </c>
      <c r="F20" s="42">
        <v>4</v>
      </c>
      <c r="G20" s="42">
        <v>3</v>
      </c>
      <c r="H20" s="42" t="s">
        <v>29</v>
      </c>
      <c r="I20" s="41"/>
      <c r="J20" s="41"/>
      <c r="K20" s="44">
        <v>6</v>
      </c>
      <c r="L20" s="42">
        <v>12</v>
      </c>
      <c r="M20" s="42">
        <v>10</v>
      </c>
      <c r="N20" s="42">
        <v>8</v>
      </c>
      <c r="O20" s="42">
        <v>3</v>
      </c>
      <c r="P20" s="42" t="s">
        <v>29</v>
      </c>
      <c r="Q20" s="44"/>
      <c r="R20" s="46"/>
      <c r="S20" s="98">
        <v>6</v>
      </c>
      <c r="T20" s="42">
        <v>36</v>
      </c>
      <c r="U20" s="42">
        <v>25</v>
      </c>
      <c r="V20" s="42">
        <v>20</v>
      </c>
      <c r="W20" s="42">
        <v>12</v>
      </c>
      <c r="X20" s="42" t="s">
        <v>29</v>
      </c>
      <c r="AA20" s="98">
        <v>6</v>
      </c>
      <c r="AB20" s="42">
        <v>120</v>
      </c>
      <c r="AC20" s="42">
        <v>85</v>
      </c>
      <c r="AD20" s="42">
        <v>60</v>
      </c>
      <c r="AE20" s="42">
        <v>36</v>
      </c>
      <c r="AF20" s="42" t="s">
        <v>29</v>
      </c>
      <c r="AI20" s="98">
        <v>6</v>
      </c>
      <c r="AJ20" s="42">
        <v>360</v>
      </c>
      <c r="AK20" s="42">
        <v>260</v>
      </c>
      <c r="AL20" s="42">
        <v>180</v>
      </c>
      <c r="AM20" s="42">
        <v>111</v>
      </c>
      <c r="AN20" s="42" t="s">
        <v>29</v>
      </c>
      <c r="AQ20" s="98">
        <v>6</v>
      </c>
      <c r="AR20" s="42">
        <v>636</v>
      </c>
      <c r="AS20" s="42">
        <v>465</v>
      </c>
      <c r="AT20" s="42">
        <v>320</v>
      </c>
      <c r="AU20" s="42">
        <v>198</v>
      </c>
      <c r="AV20" s="42" t="s">
        <v>29</v>
      </c>
      <c r="AY20" s="98">
        <v>6</v>
      </c>
      <c r="AZ20" s="42">
        <v>900</v>
      </c>
      <c r="BA20" s="42">
        <v>655</v>
      </c>
      <c r="BB20" s="42">
        <v>448</v>
      </c>
      <c r="BC20" s="42">
        <v>279</v>
      </c>
      <c r="BD20" s="42" t="s">
        <v>29</v>
      </c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ht="14.4" customHeight="1" x14ac:dyDescent="0.3">
      <c r="A21" s="110"/>
      <c r="B21" s="110"/>
      <c r="C21" s="44">
        <v>7</v>
      </c>
      <c r="D21" s="42">
        <v>7</v>
      </c>
      <c r="E21" s="42">
        <v>6</v>
      </c>
      <c r="F21" s="42">
        <v>5</v>
      </c>
      <c r="G21" s="42">
        <v>4</v>
      </c>
      <c r="H21" s="42" t="s">
        <v>29</v>
      </c>
      <c r="I21" s="41"/>
      <c r="J21" s="41"/>
      <c r="K21" s="44">
        <v>7</v>
      </c>
      <c r="L21" s="42">
        <v>14</v>
      </c>
      <c r="M21" s="42">
        <v>12</v>
      </c>
      <c r="N21" s="42">
        <v>5</v>
      </c>
      <c r="O21" s="42">
        <v>4</v>
      </c>
      <c r="P21" s="42" t="s">
        <v>29</v>
      </c>
      <c r="Q21" s="44"/>
      <c r="R21" s="46"/>
      <c r="S21" s="98">
        <v>7</v>
      </c>
      <c r="T21" s="42">
        <v>35</v>
      </c>
      <c r="U21" s="42">
        <v>30</v>
      </c>
      <c r="V21" s="42">
        <v>20</v>
      </c>
      <c r="W21" s="42">
        <v>12</v>
      </c>
      <c r="X21" s="42" t="s">
        <v>29</v>
      </c>
      <c r="AA21" s="98">
        <v>7</v>
      </c>
      <c r="AB21" s="42">
        <v>119</v>
      </c>
      <c r="AC21" s="42">
        <v>90</v>
      </c>
      <c r="AD21" s="42">
        <v>60</v>
      </c>
      <c r="AE21" s="42">
        <v>40</v>
      </c>
      <c r="AF21" s="42" t="s">
        <v>29</v>
      </c>
      <c r="AI21" s="98">
        <v>7</v>
      </c>
      <c r="AJ21" s="42">
        <v>357</v>
      </c>
      <c r="AK21" s="42">
        <v>270</v>
      </c>
      <c r="AL21" s="42">
        <v>190</v>
      </c>
      <c r="AM21" s="42">
        <v>128</v>
      </c>
      <c r="AN21" s="42" t="s">
        <v>29</v>
      </c>
      <c r="AQ21" s="98">
        <v>7</v>
      </c>
      <c r="AR21" s="42">
        <v>637</v>
      </c>
      <c r="AS21" s="42">
        <v>480</v>
      </c>
      <c r="AT21" s="42">
        <v>340</v>
      </c>
      <c r="AU21" s="42">
        <v>228</v>
      </c>
      <c r="AV21" s="42" t="s">
        <v>29</v>
      </c>
      <c r="AY21" s="98">
        <v>7</v>
      </c>
      <c r="AZ21" s="42">
        <v>896</v>
      </c>
      <c r="BA21" s="42">
        <v>672</v>
      </c>
      <c r="BB21" s="42">
        <v>480</v>
      </c>
      <c r="BC21" s="42">
        <v>320</v>
      </c>
      <c r="BD21" s="42" t="s">
        <v>29</v>
      </c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ht="14.4" customHeight="1" x14ac:dyDescent="0.3">
      <c r="A22" s="110"/>
      <c r="B22" s="110"/>
      <c r="C22" s="44">
        <v>8</v>
      </c>
      <c r="D22" s="42">
        <v>8</v>
      </c>
      <c r="E22" s="42">
        <v>7</v>
      </c>
      <c r="F22" s="42">
        <v>6</v>
      </c>
      <c r="G22" s="42">
        <v>5</v>
      </c>
      <c r="H22" s="42">
        <v>4</v>
      </c>
      <c r="I22" s="41"/>
      <c r="J22" s="41"/>
      <c r="K22" s="44">
        <v>8</v>
      </c>
      <c r="L22" s="42">
        <v>16</v>
      </c>
      <c r="M22" s="42">
        <v>7</v>
      </c>
      <c r="N22" s="42">
        <v>6</v>
      </c>
      <c r="O22" s="42">
        <v>5</v>
      </c>
      <c r="P22" s="42">
        <v>4</v>
      </c>
      <c r="Q22" s="44"/>
      <c r="R22" s="46"/>
      <c r="S22" s="98">
        <v>8</v>
      </c>
      <c r="T22" s="42">
        <v>40</v>
      </c>
      <c r="U22" s="42">
        <v>28</v>
      </c>
      <c r="V22" s="42">
        <v>18</v>
      </c>
      <c r="W22" s="42">
        <v>15</v>
      </c>
      <c r="X22" s="42">
        <v>8</v>
      </c>
      <c r="AA22" s="98">
        <v>8</v>
      </c>
      <c r="AB22" s="42">
        <v>120</v>
      </c>
      <c r="AC22" s="42">
        <v>91</v>
      </c>
      <c r="AD22" s="42">
        <v>66</v>
      </c>
      <c r="AE22" s="42">
        <v>45</v>
      </c>
      <c r="AF22" s="42">
        <v>28</v>
      </c>
      <c r="AI22" s="98">
        <v>8</v>
      </c>
      <c r="AJ22" s="42">
        <v>360</v>
      </c>
      <c r="AK22" s="42">
        <v>273</v>
      </c>
      <c r="AL22" s="42">
        <v>198</v>
      </c>
      <c r="AM22" s="42">
        <v>140</v>
      </c>
      <c r="AN22" s="42">
        <v>88</v>
      </c>
      <c r="AQ22" s="98">
        <v>8</v>
      </c>
      <c r="AR22" s="42">
        <v>640</v>
      </c>
      <c r="AS22" s="42">
        <v>490</v>
      </c>
      <c r="AT22" s="42">
        <v>360</v>
      </c>
      <c r="AU22" s="42">
        <v>250</v>
      </c>
      <c r="AV22" s="42">
        <v>160</v>
      </c>
      <c r="AY22" s="98">
        <v>8</v>
      </c>
      <c r="AZ22" s="42">
        <v>896</v>
      </c>
      <c r="BA22" s="42">
        <v>686</v>
      </c>
      <c r="BB22" s="42">
        <v>504</v>
      </c>
      <c r="BC22" s="42">
        <v>350</v>
      </c>
      <c r="BD22" s="42">
        <v>224</v>
      </c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</row>
    <row r="23" spans="1:92" ht="14.4" customHeight="1" x14ac:dyDescent="0.3">
      <c r="A23" s="110"/>
      <c r="B23" s="110"/>
      <c r="C23" s="44">
        <v>9</v>
      </c>
      <c r="D23" s="42">
        <v>9</v>
      </c>
      <c r="E23" s="42">
        <v>8</v>
      </c>
      <c r="F23" s="42">
        <v>7</v>
      </c>
      <c r="G23" s="42">
        <v>6</v>
      </c>
      <c r="H23" s="42">
        <v>5</v>
      </c>
      <c r="I23" s="41"/>
      <c r="J23" s="41"/>
      <c r="K23" s="44">
        <v>9</v>
      </c>
      <c r="L23" s="42">
        <v>9</v>
      </c>
      <c r="M23" s="42">
        <v>8</v>
      </c>
      <c r="N23" s="42">
        <v>7</v>
      </c>
      <c r="O23" s="42">
        <v>6</v>
      </c>
      <c r="P23" s="42">
        <v>5</v>
      </c>
      <c r="Q23" s="44"/>
      <c r="R23" s="46"/>
      <c r="S23" s="98">
        <v>9</v>
      </c>
      <c r="T23" s="42">
        <v>36</v>
      </c>
      <c r="U23" s="42">
        <v>24</v>
      </c>
      <c r="V23" s="42">
        <v>21</v>
      </c>
      <c r="W23" s="42">
        <v>12</v>
      </c>
      <c r="X23" s="42">
        <v>10</v>
      </c>
      <c r="AA23" s="98">
        <v>9</v>
      </c>
      <c r="AB23" s="42">
        <v>117</v>
      </c>
      <c r="AC23" s="42">
        <v>88</v>
      </c>
      <c r="AD23" s="42">
        <v>70</v>
      </c>
      <c r="AE23" s="42">
        <v>48</v>
      </c>
      <c r="AF23" s="42">
        <v>30</v>
      </c>
      <c r="AI23" s="98">
        <v>9</v>
      </c>
      <c r="AJ23" s="42">
        <v>360</v>
      </c>
      <c r="AK23" s="42">
        <v>280</v>
      </c>
      <c r="AL23" s="42">
        <v>210</v>
      </c>
      <c r="AM23" s="42">
        <v>150</v>
      </c>
      <c r="AN23" s="42">
        <v>100</v>
      </c>
      <c r="AQ23" s="98">
        <v>9</v>
      </c>
      <c r="AR23" s="42">
        <v>639</v>
      </c>
      <c r="AS23" s="42">
        <v>496</v>
      </c>
      <c r="AT23" s="42">
        <v>371</v>
      </c>
      <c r="AU23" s="42">
        <v>264</v>
      </c>
      <c r="AV23" s="42">
        <v>175</v>
      </c>
      <c r="AY23" s="98">
        <v>9</v>
      </c>
      <c r="AZ23" s="42">
        <v>900</v>
      </c>
      <c r="BA23" s="42">
        <v>696</v>
      </c>
      <c r="BB23" s="42">
        <v>525</v>
      </c>
      <c r="BC23" s="42">
        <v>372</v>
      </c>
      <c r="BD23" s="42">
        <v>250</v>
      </c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ht="14.4" customHeight="1" x14ac:dyDescent="0.25">
      <c r="A24" s="43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ht="14.4" customHeight="1" x14ac:dyDescent="0.25">
      <c r="D25" s="109" t="s">
        <v>31</v>
      </c>
      <c r="E25" s="109"/>
      <c r="F25" s="109"/>
      <c r="G25" s="109"/>
      <c r="H25" s="109"/>
      <c r="L25" s="109" t="s">
        <v>30</v>
      </c>
      <c r="M25" s="109"/>
      <c r="N25" s="109"/>
      <c r="O25" s="109"/>
      <c r="P25" s="109"/>
      <c r="Q25" s="4"/>
      <c r="R25" s="4"/>
      <c r="T25" s="109" t="s">
        <v>32</v>
      </c>
      <c r="U25" s="109"/>
      <c r="V25" s="109"/>
      <c r="W25" s="109"/>
      <c r="X25" s="109"/>
      <c r="AB25" s="109" t="s">
        <v>33</v>
      </c>
      <c r="AC25" s="109"/>
      <c r="AD25" s="109"/>
      <c r="AE25" s="109"/>
      <c r="AF25" s="109"/>
      <c r="AJ25" s="109" t="s">
        <v>34</v>
      </c>
      <c r="AK25" s="109"/>
      <c r="AL25" s="109"/>
      <c r="AM25" s="109"/>
      <c r="AN25" s="109"/>
      <c r="AR25" s="109" t="s">
        <v>35</v>
      </c>
      <c r="AS25" s="109"/>
      <c r="AT25" s="109"/>
      <c r="AU25" s="109"/>
      <c r="AV25" s="109"/>
      <c r="AZ25" s="109" t="s">
        <v>36</v>
      </c>
      <c r="BA25" s="109"/>
      <c r="BB25" s="109"/>
      <c r="BC25" s="109"/>
      <c r="BD25" s="109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ht="14.4" customHeight="1" x14ac:dyDescent="0.25">
      <c r="C26" s="47"/>
      <c r="D26" s="50">
        <v>0</v>
      </c>
      <c r="E26" s="50">
        <v>1</v>
      </c>
      <c r="F26" s="50">
        <v>2</v>
      </c>
      <c r="G26" s="50">
        <v>3</v>
      </c>
      <c r="H26" s="50">
        <v>4</v>
      </c>
      <c r="K26" s="47"/>
      <c r="L26" s="50">
        <v>0</v>
      </c>
      <c r="M26" s="50">
        <v>1</v>
      </c>
      <c r="N26" s="50">
        <v>2</v>
      </c>
      <c r="O26" s="50">
        <v>3</v>
      </c>
      <c r="P26" s="50">
        <v>4</v>
      </c>
      <c r="Q26" s="4"/>
      <c r="R26" s="4"/>
      <c r="S26" s="47"/>
      <c r="T26" s="98">
        <v>0</v>
      </c>
      <c r="U26" s="98">
        <v>1</v>
      </c>
      <c r="V26" s="98">
        <v>2</v>
      </c>
      <c r="W26" s="98">
        <v>3</v>
      </c>
      <c r="X26" s="98">
        <v>4</v>
      </c>
      <c r="AA26" s="47"/>
      <c r="AB26" s="98">
        <v>0</v>
      </c>
      <c r="AC26" s="98">
        <v>1</v>
      </c>
      <c r="AD26" s="98">
        <v>2</v>
      </c>
      <c r="AE26" s="98">
        <v>3</v>
      </c>
      <c r="AF26" s="98">
        <v>4</v>
      </c>
      <c r="AI26" s="47"/>
      <c r="AJ26" s="98">
        <v>0</v>
      </c>
      <c r="AK26" s="98">
        <v>1</v>
      </c>
      <c r="AL26" s="98">
        <v>2</v>
      </c>
      <c r="AM26" s="98">
        <v>3</v>
      </c>
      <c r="AN26" s="98">
        <v>4</v>
      </c>
      <c r="AQ26" s="47"/>
      <c r="AR26" s="98">
        <v>0</v>
      </c>
      <c r="AS26" s="98">
        <v>1</v>
      </c>
      <c r="AT26" s="98">
        <v>2</v>
      </c>
      <c r="AU26" s="98">
        <v>3</v>
      </c>
      <c r="AV26" s="98">
        <v>4</v>
      </c>
      <c r="AY26" s="47"/>
      <c r="AZ26" s="98">
        <v>0</v>
      </c>
      <c r="BA26" s="98">
        <v>1</v>
      </c>
      <c r="BB26" s="98">
        <v>2</v>
      </c>
      <c r="BC26" s="98">
        <v>3</v>
      </c>
      <c r="BD26" s="98">
        <v>4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3">
      <c r="A27" s="110">
        <v>3</v>
      </c>
      <c r="B27" s="110"/>
      <c r="C27" s="50">
        <v>1</v>
      </c>
      <c r="D27" s="42">
        <v>12</v>
      </c>
      <c r="E27" s="42" t="s">
        <v>29</v>
      </c>
      <c r="F27" s="42" t="s">
        <v>29</v>
      </c>
      <c r="G27" s="42" t="s">
        <v>29</v>
      </c>
      <c r="H27" s="42" t="s">
        <v>29</v>
      </c>
      <c r="K27" s="50">
        <v>1</v>
      </c>
      <c r="L27" s="42">
        <v>24</v>
      </c>
      <c r="M27" s="42" t="s">
        <v>29</v>
      </c>
      <c r="N27" s="42" t="s">
        <v>29</v>
      </c>
      <c r="O27" s="42" t="s">
        <v>29</v>
      </c>
      <c r="P27" s="42" t="s">
        <v>29</v>
      </c>
      <c r="S27" s="98">
        <v>1</v>
      </c>
      <c r="T27" s="42">
        <v>60</v>
      </c>
      <c r="U27" s="42" t="s">
        <v>29</v>
      </c>
      <c r="V27" s="42" t="s">
        <v>29</v>
      </c>
      <c r="W27" s="42" t="s">
        <v>29</v>
      </c>
      <c r="X27" s="42" t="s">
        <v>29</v>
      </c>
      <c r="AA27" s="98">
        <v>1</v>
      </c>
      <c r="AB27" s="42">
        <v>180</v>
      </c>
      <c r="AC27" s="42" t="s">
        <v>29</v>
      </c>
      <c r="AD27" s="42" t="s">
        <v>29</v>
      </c>
      <c r="AE27" s="42" t="s">
        <v>29</v>
      </c>
      <c r="AF27" s="42" t="s">
        <v>29</v>
      </c>
      <c r="AI27" s="98">
        <v>1</v>
      </c>
      <c r="AJ27" s="42">
        <v>540</v>
      </c>
      <c r="AK27" s="42" t="s">
        <v>29</v>
      </c>
      <c r="AL27" s="42" t="s">
        <v>29</v>
      </c>
      <c r="AM27" s="42" t="s">
        <v>29</v>
      </c>
      <c r="AN27" s="42" t="s">
        <v>29</v>
      </c>
      <c r="AQ27" s="98">
        <v>1</v>
      </c>
      <c r="AR27" s="42">
        <v>800</v>
      </c>
      <c r="AS27" s="42" t="s">
        <v>29</v>
      </c>
      <c r="AT27" s="42" t="s">
        <v>29</v>
      </c>
      <c r="AU27" s="42" t="s">
        <v>29</v>
      </c>
      <c r="AV27" s="42" t="s">
        <v>29</v>
      </c>
      <c r="AY27" s="98">
        <v>1</v>
      </c>
      <c r="AZ27" s="42">
        <v>1100</v>
      </c>
      <c r="BA27" s="42" t="s">
        <v>29</v>
      </c>
      <c r="BB27" s="42" t="s">
        <v>29</v>
      </c>
      <c r="BC27" s="42" t="s">
        <v>29</v>
      </c>
      <c r="BD27" s="42" t="s">
        <v>29</v>
      </c>
    </row>
    <row r="28" spans="1:92" x14ac:dyDescent="0.3">
      <c r="A28" s="110"/>
      <c r="B28" s="110"/>
      <c r="C28" s="50">
        <v>2</v>
      </c>
      <c r="D28" s="42">
        <v>12</v>
      </c>
      <c r="E28" s="42">
        <v>5</v>
      </c>
      <c r="F28" s="42" t="s">
        <v>29</v>
      </c>
      <c r="G28" s="42" t="s">
        <v>29</v>
      </c>
      <c r="H28" s="42" t="s">
        <v>29</v>
      </c>
      <c r="I28" s="4"/>
      <c r="J28" s="4"/>
      <c r="K28" s="50">
        <v>2</v>
      </c>
      <c r="L28" s="42">
        <v>24</v>
      </c>
      <c r="M28" s="42">
        <v>10</v>
      </c>
      <c r="N28" s="42" t="s">
        <v>29</v>
      </c>
      <c r="O28" s="42" t="s">
        <v>29</v>
      </c>
      <c r="P28" s="42" t="s">
        <v>29</v>
      </c>
      <c r="S28" s="98">
        <v>2</v>
      </c>
      <c r="T28" s="42">
        <v>60</v>
      </c>
      <c r="U28" s="42">
        <v>20</v>
      </c>
      <c r="V28" s="42" t="s">
        <v>29</v>
      </c>
      <c r="W28" s="42" t="s">
        <v>29</v>
      </c>
      <c r="X28" s="42" t="s">
        <v>29</v>
      </c>
      <c r="AA28" s="98">
        <v>2</v>
      </c>
      <c r="AB28" s="42">
        <v>180</v>
      </c>
      <c r="AC28" s="42">
        <v>78</v>
      </c>
      <c r="AD28" s="42" t="s">
        <v>29</v>
      </c>
      <c r="AE28" s="42" t="s">
        <v>29</v>
      </c>
      <c r="AF28" s="42" t="s">
        <v>29</v>
      </c>
      <c r="AI28" s="98">
        <v>2</v>
      </c>
      <c r="AJ28" s="42">
        <v>540</v>
      </c>
      <c r="AK28" s="42">
        <v>236</v>
      </c>
      <c r="AL28" s="42" t="s">
        <v>29</v>
      </c>
      <c r="AM28" s="42" t="s">
        <v>29</v>
      </c>
      <c r="AN28" s="42" t="s">
        <v>29</v>
      </c>
      <c r="AQ28" s="98">
        <v>2</v>
      </c>
      <c r="AR28" s="42">
        <v>800</v>
      </c>
      <c r="AS28" s="42">
        <v>350</v>
      </c>
      <c r="AT28" s="42" t="s">
        <v>29</v>
      </c>
      <c r="AU28" s="42" t="s">
        <v>29</v>
      </c>
      <c r="AV28" s="42" t="s">
        <v>29</v>
      </c>
      <c r="AY28" s="98">
        <v>2</v>
      </c>
      <c r="AZ28" s="42">
        <v>1100</v>
      </c>
      <c r="BA28" s="42">
        <v>481</v>
      </c>
      <c r="BB28" s="42" t="s">
        <v>29</v>
      </c>
      <c r="BC28" s="42" t="s">
        <v>29</v>
      </c>
      <c r="BD28" s="42" t="s">
        <v>29</v>
      </c>
    </row>
    <row r="29" spans="1:92" x14ac:dyDescent="0.3">
      <c r="A29" s="110"/>
      <c r="B29" s="110"/>
      <c r="C29" s="50">
        <v>3</v>
      </c>
      <c r="D29" s="42">
        <v>12</v>
      </c>
      <c r="E29" s="42">
        <v>6</v>
      </c>
      <c r="F29" s="42" t="s">
        <v>29</v>
      </c>
      <c r="G29" s="42" t="s">
        <v>29</v>
      </c>
      <c r="H29" s="42" t="s">
        <v>29</v>
      </c>
      <c r="I29" s="4"/>
      <c r="J29" s="4"/>
      <c r="K29" s="50">
        <v>3</v>
      </c>
      <c r="L29" s="42">
        <v>24</v>
      </c>
      <c r="M29" s="42">
        <v>14</v>
      </c>
      <c r="N29" s="42" t="s">
        <v>29</v>
      </c>
      <c r="O29" s="42" t="s">
        <v>29</v>
      </c>
      <c r="P29" s="42" t="s">
        <v>29</v>
      </c>
      <c r="S29" s="98">
        <v>3</v>
      </c>
      <c r="T29" s="42">
        <v>60</v>
      </c>
      <c r="U29" s="42">
        <v>34</v>
      </c>
      <c r="V29" s="42" t="s">
        <v>29</v>
      </c>
      <c r="W29" s="42" t="s">
        <v>29</v>
      </c>
      <c r="X29" s="42" t="s">
        <v>29</v>
      </c>
      <c r="AA29" s="98">
        <v>3</v>
      </c>
      <c r="AB29" s="42">
        <v>180</v>
      </c>
      <c r="AC29" s="42">
        <v>104</v>
      </c>
      <c r="AD29" s="42" t="s">
        <v>29</v>
      </c>
      <c r="AE29" s="42" t="s">
        <v>29</v>
      </c>
      <c r="AF29" s="42" t="s">
        <v>29</v>
      </c>
      <c r="AI29" s="98">
        <v>3</v>
      </c>
      <c r="AJ29" s="42">
        <v>540</v>
      </c>
      <c r="AK29" s="42">
        <v>314</v>
      </c>
      <c r="AL29" s="42" t="s">
        <v>29</v>
      </c>
      <c r="AM29" s="42" t="s">
        <v>29</v>
      </c>
      <c r="AN29" s="42" t="s">
        <v>29</v>
      </c>
      <c r="AQ29" s="98">
        <v>3</v>
      </c>
      <c r="AR29" s="42">
        <v>798</v>
      </c>
      <c r="AS29" s="42">
        <v>466</v>
      </c>
      <c r="AT29" s="42" t="s">
        <v>29</v>
      </c>
      <c r="AU29" s="42" t="s">
        <v>29</v>
      </c>
      <c r="AV29" s="42" t="s">
        <v>29</v>
      </c>
      <c r="AY29" s="98">
        <v>3</v>
      </c>
      <c r="AZ29" s="42">
        <v>1098</v>
      </c>
      <c r="BA29" s="42">
        <v>640</v>
      </c>
      <c r="BB29" s="42" t="s">
        <v>29</v>
      </c>
      <c r="BC29" s="42" t="s">
        <v>29</v>
      </c>
      <c r="BD29" s="42" t="s">
        <v>29</v>
      </c>
    </row>
    <row r="30" spans="1:92" x14ac:dyDescent="0.3">
      <c r="A30" s="110"/>
      <c r="B30" s="110"/>
      <c r="C30" s="50">
        <v>4</v>
      </c>
      <c r="D30" s="42">
        <v>12</v>
      </c>
      <c r="E30" s="42">
        <v>6</v>
      </c>
      <c r="F30" s="42">
        <v>4</v>
      </c>
      <c r="G30" s="42" t="s">
        <v>29</v>
      </c>
      <c r="H30" s="42" t="s">
        <v>29</v>
      </c>
      <c r="I30" s="41"/>
      <c r="J30" s="41"/>
      <c r="K30" s="50">
        <v>4</v>
      </c>
      <c r="L30" s="42">
        <v>24</v>
      </c>
      <c r="M30" s="42">
        <v>15</v>
      </c>
      <c r="N30" s="42">
        <v>8</v>
      </c>
      <c r="O30" s="42" t="s">
        <v>29</v>
      </c>
      <c r="P30" s="42" t="s">
        <v>29</v>
      </c>
      <c r="S30" s="98">
        <v>4</v>
      </c>
      <c r="T30" s="42">
        <v>60</v>
      </c>
      <c r="U30" s="42">
        <v>39</v>
      </c>
      <c r="V30" s="42">
        <v>22</v>
      </c>
      <c r="W30" s="42" t="s">
        <v>29</v>
      </c>
      <c r="X30" s="42" t="s">
        <v>29</v>
      </c>
      <c r="AA30" s="98">
        <v>4</v>
      </c>
      <c r="AB30" s="42">
        <v>180</v>
      </c>
      <c r="AC30" s="42">
        <v>117</v>
      </c>
      <c r="AD30" s="42">
        <v>66</v>
      </c>
      <c r="AE30" s="42" t="s">
        <v>29</v>
      </c>
      <c r="AF30" s="42" t="s">
        <v>29</v>
      </c>
      <c r="AI30" s="98">
        <v>4</v>
      </c>
      <c r="AJ30" s="42">
        <v>540</v>
      </c>
      <c r="AK30" s="42">
        <v>354</v>
      </c>
      <c r="AL30" s="42">
        <v>202</v>
      </c>
      <c r="AM30" s="42" t="s">
        <v>29</v>
      </c>
      <c r="AN30" s="42" t="s">
        <v>29</v>
      </c>
      <c r="AQ30" s="98">
        <v>4</v>
      </c>
      <c r="AR30" s="42">
        <v>800</v>
      </c>
      <c r="AS30" s="42">
        <v>525</v>
      </c>
      <c r="AT30" s="42">
        <v>300</v>
      </c>
      <c r="AU30" s="42" t="s">
        <v>29</v>
      </c>
      <c r="AV30" s="42" t="s">
        <v>29</v>
      </c>
      <c r="AY30" s="98">
        <v>4</v>
      </c>
      <c r="AZ30" s="42">
        <v>1100</v>
      </c>
      <c r="BA30" s="42">
        <v>720</v>
      </c>
      <c r="BB30" s="42">
        <v>412</v>
      </c>
      <c r="BC30" s="42" t="s">
        <v>29</v>
      </c>
      <c r="BD30" s="42" t="s">
        <v>29</v>
      </c>
    </row>
    <row r="31" spans="1:92" x14ac:dyDescent="0.3">
      <c r="A31" s="110"/>
      <c r="B31" s="110"/>
      <c r="C31" s="50">
        <v>5</v>
      </c>
      <c r="D31" s="42">
        <v>10</v>
      </c>
      <c r="E31" s="42">
        <v>8</v>
      </c>
      <c r="F31" s="42">
        <v>3</v>
      </c>
      <c r="G31" s="42" t="s">
        <v>29</v>
      </c>
      <c r="H31" s="42" t="s">
        <v>29</v>
      </c>
      <c r="I31" s="41"/>
      <c r="J31" s="41"/>
      <c r="K31" s="50">
        <v>5</v>
      </c>
      <c r="L31" s="42">
        <v>20</v>
      </c>
      <c r="M31" s="42">
        <v>16</v>
      </c>
      <c r="N31" s="42">
        <v>9</v>
      </c>
      <c r="O31" s="42" t="s">
        <v>29</v>
      </c>
      <c r="P31" s="42" t="s">
        <v>29</v>
      </c>
      <c r="S31" s="98">
        <v>5</v>
      </c>
      <c r="T31" s="42">
        <v>60</v>
      </c>
      <c r="U31" s="42">
        <v>40</v>
      </c>
      <c r="V31" s="42">
        <v>27</v>
      </c>
      <c r="W31" s="42" t="s">
        <v>29</v>
      </c>
      <c r="X31" s="42" t="s">
        <v>29</v>
      </c>
      <c r="AA31" s="98">
        <v>5</v>
      </c>
      <c r="AB31" s="42">
        <v>180</v>
      </c>
      <c r="AC31" s="42">
        <v>124</v>
      </c>
      <c r="AD31" s="42">
        <v>81</v>
      </c>
      <c r="AE31" s="42" t="s">
        <v>29</v>
      </c>
      <c r="AF31" s="42" t="s">
        <v>29</v>
      </c>
      <c r="AI31" s="98">
        <v>5</v>
      </c>
      <c r="AJ31" s="42">
        <v>540</v>
      </c>
      <c r="AK31" s="42">
        <v>376</v>
      </c>
      <c r="AL31" s="42">
        <v>243</v>
      </c>
      <c r="AM31" s="42" t="s">
        <v>29</v>
      </c>
      <c r="AN31" s="42" t="s">
        <v>29</v>
      </c>
      <c r="AQ31" s="98">
        <v>5</v>
      </c>
      <c r="AR31" s="42">
        <v>800</v>
      </c>
      <c r="AS31" s="42">
        <v>560</v>
      </c>
      <c r="AT31" s="42">
        <v>360</v>
      </c>
      <c r="AU31" s="42" t="s">
        <v>29</v>
      </c>
      <c r="AV31" s="42" t="s">
        <v>29</v>
      </c>
      <c r="AY31" s="98">
        <v>5</v>
      </c>
      <c r="AZ31" s="42">
        <v>1100</v>
      </c>
      <c r="BA31" s="42">
        <v>768</v>
      </c>
      <c r="BB31" s="42">
        <v>495</v>
      </c>
      <c r="BC31" s="42" t="s">
        <v>29</v>
      </c>
      <c r="BD31" s="42" t="s">
        <v>29</v>
      </c>
    </row>
    <row r="32" spans="1:92" x14ac:dyDescent="0.3">
      <c r="A32" s="110"/>
      <c r="B32" s="110"/>
      <c r="C32" s="50">
        <v>6</v>
      </c>
      <c r="D32" s="42">
        <v>12</v>
      </c>
      <c r="E32" s="42">
        <v>5</v>
      </c>
      <c r="F32" s="42">
        <v>4</v>
      </c>
      <c r="G32" s="42">
        <v>3</v>
      </c>
      <c r="H32" s="42" t="s">
        <v>29</v>
      </c>
      <c r="I32" s="41"/>
      <c r="J32" s="41"/>
      <c r="K32" s="50">
        <v>6</v>
      </c>
      <c r="L32" s="42">
        <v>24</v>
      </c>
      <c r="M32" s="42">
        <v>15</v>
      </c>
      <c r="N32" s="42">
        <v>12</v>
      </c>
      <c r="O32" s="42">
        <v>6</v>
      </c>
      <c r="P32" s="42" t="s">
        <v>29</v>
      </c>
      <c r="S32" s="98">
        <v>6</v>
      </c>
      <c r="T32" s="42">
        <v>60</v>
      </c>
      <c r="U32" s="42">
        <v>40</v>
      </c>
      <c r="V32" s="42">
        <v>28</v>
      </c>
      <c r="W32" s="42">
        <v>18</v>
      </c>
      <c r="X32" s="42" t="s">
        <v>29</v>
      </c>
      <c r="AA32" s="98">
        <v>6</v>
      </c>
      <c r="AB32" s="42">
        <v>180</v>
      </c>
      <c r="AC32" s="42">
        <v>130</v>
      </c>
      <c r="AD32" s="42">
        <v>88</v>
      </c>
      <c r="AE32" s="42">
        <v>54</v>
      </c>
      <c r="AF32" s="42" t="s">
        <v>29</v>
      </c>
      <c r="AI32" s="98">
        <v>6</v>
      </c>
      <c r="AJ32" s="42">
        <v>540</v>
      </c>
      <c r="AK32" s="42">
        <v>390</v>
      </c>
      <c r="AL32" s="42">
        <v>268</v>
      </c>
      <c r="AM32" s="42">
        <v>168</v>
      </c>
      <c r="AN32" s="42" t="s">
        <v>29</v>
      </c>
      <c r="AQ32" s="98">
        <v>6</v>
      </c>
      <c r="AR32" s="42">
        <v>798</v>
      </c>
      <c r="AS32" s="42">
        <v>580</v>
      </c>
      <c r="AT32" s="42">
        <v>400</v>
      </c>
      <c r="AU32" s="42">
        <v>244</v>
      </c>
      <c r="AV32" s="42" t="s">
        <v>29</v>
      </c>
      <c r="AY32" s="98">
        <v>6</v>
      </c>
      <c r="AZ32" s="42">
        <v>1098</v>
      </c>
      <c r="BA32" s="42">
        <v>800</v>
      </c>
      <c r="BB32" s="42">
        <v>548</v>
      </c>
      <c r="BC32" s="42">
        <v>342</v>
      </c>
      <c r="BD32" s="42" t="s">
        <v>29</v>
      </c>
    </row>
    <row r="33" spans="1:56" x14ac:dyDescent="0.3">
      <c r="A33" s="110"/>
      <c r="B33" s="110"/>
      <c r="C33" s="50">
        <v>7</v>
      </c>
      <c r="D33" s="42">
        <v>7</v>
      </c>
      <c r="E33" s="42">
        <v>6</v>
      </c>
      <c r="F33" s="42">
        <v>5</v>
      </c>
      <c r="G33" s="42">
        <v>4</v>
      </c>
      <c r="H33" s="42" t="s">
        <v>29</v>
      </c>
      <c r="I33" s="41"/>
      <c r="J33" s="41"/>
      <c r="K33" s="50">
        <v>7</v>
      </c>
      <c r="L33" s="42">
        <v>21</v>
      </c>
      <c r="M33" s="42">
        <v>18</v>
      </c>
      <c r="N33" s="42">
        <v>10</v>
      </c>
      <c r="O33" s="42">
        <v>8</v>
      </c>
      <c r="P33" s="42" t="s">
        <v>29</v>
      </c>
      <c r="S33" s="98">
        <v>7</v>
      </c>
      <c r="T33" s="42">
        <v>56</v>
      </c>
      <c r="U33" s="42">
        <v>42</v>
      </c>
      <c r="V33" s="42">
        <v>30</v>
      </c>
      <c r="W33" s="42">
        <v>20</v>
      </c>
      <c r="X33" s="42" t="s">
        <v>29</v>
      </c>
      <c r="AA33" s="98">
        <v>7</v>
      </c>
      <c r="AB33" s="42">
        <v>175</v>
      </c>
      <c r="AC33" s="42">
        <v>132</v>
      </c>
      <c r="AD33" s="42">
        <v>95</v>
      </c>
      <c r="AE33" s="42">
        <v>64</v>
      </c>
      <c r="AF33" s="42" t="s">
        <v>29</v>
      </c>
      <c r="AI33" s="98">
        <v>7</v>
      </c>
      <c r="AJ33" s="42">
        <v>539</v>
      </c>
      <c r="AK33" s="42">
        <v>402</v>
      </c>
      <c r="AL33" s="42">
        <v>285</v>
      </c>
      <c r="AM33" s="42">
        <v>192</v>
      </c>
      <c r="AN33" s="42" t="s">
        <v>29</v>
      </c>
      <c r="AQ33" s="98">
        <v>7</v>
      </c>
      <c r="AR33" s="42">
        <v>798</v>
      </c>
      <c r="AS33" s="42">
        <v>600</v>
      </c>
      <c r="AT33" s="42">
        <v>425</v>
      </c>
      <c r="AU33" s="42">
        <v>284</v>
      </c>
      <c r="AV33" s="42" t="s">
        <v>29</v>
      </c>
      <c r="AY33" s="98">
        <v>7</v>
      </c>
      <c r="AZ33" s="42">
        <v>1099</v>
      </c>
      <c r="BA33" s="42">
        <v>822</v>
      </c>
      <c r="BB33" s="42">
        <v>585</v>
      </c>
      <c r="BC33" s="42">
        <v>392</v>
      </c>
      <c r="BD33" s="42" t="s">
        <v>29</v>
      </c>
    </row>
    <row r="34" spans="1:56" x14ac:dyDescent="0.3">
      <c r="A34" s="110"/>
      <c r="B34" s="110"/>
      <c r="C34" s="50">
        <v>8</v>
      </c>
      <c r="D34" s="42">
        <v>8</v>
      </c>
      <c r="E34" s="42">
        <v>7</v>
      </c>
      <c r="F34" s="42">
        <v>6</v>
      </c>
      <c r="G34" s="42">
        <v>5</v>
      </c>
      <c r="H34" s="42">
        <v>4</v>
      </c>
      <c r="I34" s="41"/>
      <c r="J34" s="41"/>
      <c r="K34" s="50">
        <v>8</v>
      </c>
      <c r="L34" s="42">
        <v>24</v>
      </c>
      <c r="M34" s="42">
        <v>14</v>
      </c>
      <c r="N34" s="42">
        <v>12</v>
      </c>
      <c r="O34" s="42">
        <v>5</v>
      </c>
      <c r="P34" s="42">
        <v>4</v>
      </c>
      <c r="S34" s="98">
        <v>8</v>
      </c>
      <c r="T34" s="42">
        <v>56</v>
      </c>
      <c r="U34" s="42">
        <v>42</v>
      </c>
      <c r="V34" s="42">
        <v>30</v>
      </c>
      <c r="W34" s="42">
        <v>20</v>
      </c>
      <c r="X34" s="42">
        <v>12</v>
      </c>
      <c r="AA34" s="98">
        <v>8</v>
      </c>
      <c r="AB34" s="42">
        <v>176</v>
      </c>
      <c r="AC34" s="42">
        <v>133</v>
      </c>
      <c r="AD34" s="42">
        <v>96</v>
      </c>
      <c r="AE34" s="42">
        <v>70</v>
      </c>
      <c r="AF34" s="42">
        <v>44</v>
      </c>
      <c r="AI34" s="98">
        <v>8</v>
      </c>
      <c r="AJ34" s="42">
        <v>536</v>
      </c>
      <c r="AK34" s="42">
        <v>413</v>
      </c>
      <c r="AL34" s="42">
        <v>300</v>
      </c>
      <c r="AM34" s="42">
        <v>210</v>
      </c>
      <c r="AN34" s="42">
        <v>132</v>
      </c>
      <c r="AQ34" s="98">
        <v>8</v>
      </c>
      <c r="AR34" s="42">
        <v>800</v>
      </c>
      <c r="AS34" s="42">
        <v>609</v>
      </c>
      <c r="AT34" s="42">
        <v>450</v>
      </c>
      <c r="AU34" s="42">
        <v>310</v>
      </c>
      <c r="AV34" s="42">
        <v>200</v>
      </c>
      <c r="AY34" s="98">
        <v>8</v>
      </c>
      <c r="AZ34" s="42">
        <v>1096</v>
      </c>
      <c r="BA34" s="42">
        <v>840</v>
      </c>
      <c r="BB34" s="42">
        <v>618</v>
      </c>
      <c r="BC34" s="42">
        <v>425</v>
      </c>
      <c r="BD34" s="42">
        <v>272</v>
      </c>
    </row>
    <row r="35" spans="1:56" x14ac:dyDescent="0.3">
      <c r="A35" s="110"/>
      <c r="B35" s="110"/>
      <c r="C35" s="50">
        <v>9</v>
      </c>
      <c r="D35" s="42">
        <v>9</v>
      </c>
      <c r="E35" s="42">
        <v>8</v>
      </c>
      <c r="F35" s="42">
        <v>7</v>
      </c>
      <c r="G35" s="42">
        <v>6</v>
      </c>
      <c r="H35" s="42">
        <v>5</v>
      </c>
      <c r="I35" s="41"/>
      <c r="J35" s="41"/>
      <c r="K35" s="50">
        <v>9</v>
      </c>
      <c r="L35" s="42">
        <v>18</v>
      </c>
      <c r="M35" s="42">
        <v>16</v>
      </c>
      <c r="N35" s="42">
        <v>14</v>
      </c>
      <c r="O35" s="42">
        <v>6</v>
      </c>
      <c r="P35" s="42">
        <v>5</v>
      </c>
      <c r="S35" s="98">
        <v>9</v>
      </c>
      <c r="T35" s="42">
        <v>54</v>
      </c>
      <c r="U35" s="42">
        <v>40</v>
      </c>
      <c r="V35" s="42">
        <v>35</v>
      </c>
      <c r="W35" s="42">
        <v>24</v>
      </c>
      <c r="X35" s="42">
        <v>15</v>
      </c>
      <c r="AA35" s="98">
        <v>9</v>
      </c>
      <c r="AB35" s="42">
        <v>180</v>
      </c>
      <c r="AC35" s="42">
        <v>136</v>
      </c>
      <c r="AD35" s="42">
        <v>105</v>
      </c>
      <c r="AE35" s="42">
        <v>72</v>
      </c>
      <c r="AF35" s="42">
        <v>50</v>
      </c>
      <c r="AI35" s="98">
        <v>9</v>
      </c>
      <c r="AJ35" s="42">
        <v>540</v>
      </c>
      <c r="AK35" s="42">
        <v>416</v>
      </c>
      <c r="AL35" s="42">
        <v>315</v>
      </c>
      <c r="AM35" s="42">
        <v>222</v>
      </c>
      <c r="AN35" s="42">
        <v>150</v>
      </c>
      <c r="AQ35" s="98">
        <v>9</v>
      </c>
      <c r="AR35" s="42">
        <v>7920</v>
      </c>
      <c r="AS35" s="42">
        <v>616</v>
      </c>
      <c r="AT35" s="42">
        <v>462</v>
      </c>
      <c r="AU35" s="42">
        <v>330</v>
      </c>
      <c r="AV35" s="42">
        <v>220</v>
      </c>
      <c r="AY35" s="98">
        <v>9</v>
      </c>
      <c r="AZ35" s="42">
        <v>1098</v>
      </c>
      <c r="BA35" s="42">
        <v>848</v>
      </c>
      <c r="BB35" s="42">
        <v>637</v>
      </c>
      <c r="BC35" s="42">
        <v>456</v>
      </c>
      <c r="BD35" s="42">
        <v>305</v>
      </c>
    </row>
    <row r="37" spans="1:56" ht="15" x14ac:dyDescent="0.25">
      <c r="D37" s="109" t="s">
        <v>31</v>
      </c>
      <c r="E37" s="109"/>
      <c r="F37" s="109"/>
      <c r="G37" s="109"/>
      <c r="H37" s="109"/>
      <c r="L37" s="109" t="s">
        <v>30</v>
      </c>
      <c r="M37" s="109"/>
      <c r="N37" s="109"/>
      <c r="O37" s="109"/>
      <c r="P37" s="109"/>
      <c r="T37" s="109" t="s">
        <v>32</v>
      </c>
      <c r="U37" s="109"/>
      <c r="V37" s="109"/>
      <c r="W37" s="109"/>
      <c r="X37" s="109"/>
      <c r="AB37" s="109" t="s">
        <v>33</v>
      </c>
      <c r="AC37" s="109"/>
      <c r="AD37" s="109"/>
      <c r="AE37" s="109"/>
      <c r="AF37" s="109"/>
      <c r="AJ37" s="109" t="s">
        <v>34</v>
      </c>
      <c r="AK37" s="109"/>
      <c r="AL37" s="109"/>
      <c r="AM37" s="109"/>
      <c r="AN37" s="109"/>
      <c r="AR37" s="109" t="s">
        <v>35</v>
      </c>
      <c r="AS37" s="109"/>
      <c r="AT37" s="109"/>
      <c r="AU37" s="109"/>
      <c r="AV37" s="109"/>
      <c r="AZ37" s="109" t="s">
        <v>36</v>
      </c>
      <c r="BA37" s="109"/>
      <c r="BB37" s="109"/>
      <c r="BC37" s="109"/>
      <c r="BD37" s="109"/>
    </row>
    <row r="38" spans="1:56" ht="15" x14ac:dyDescent="0.25">
      <c r="C38" s="47"/>
      <c r="D38" s="50">
        <v>0</v>
      </c>
      <c r="E38" s="50">
        <v>1</v>
      </c>
      <c r="F38" s="50">
        <v>2</v>
      </c>
      <c r="G38" s="50">
        <v>3</v>
      </c>
      <c r="H38" s="50">
        <v>4</v>
      </c>
      <c r="K38" s="47"/>
      <c r="L38" s="50">
        <v>0</v>
      </c>
      <c r="M38" s="50">
        <v>1</v>
      </c>
      <c r="N38" s="50">
        <v>2</v>
      </c>
      <c r="O38" s="50">
        <v>3</v>
      </c>
      <c r="P38" s="50">
        <v>4</v>
      </c>
      <c r="S38" s="47"/>
      <c r="T38" s="98">
        <v>0</v>
      </c>
      <c r="U38" s="98">
        <v>1</v>
      </c>
      <c r="V38" s="98">
        <v>2</v>
      </c>
      <c r="W38" s="98">
        <v>3</v>
      </c>
      <c r="X38" s="98">
        <v>4</v>
      </c>
      <c r="AA38" s="47"/>
      <c r="AB38" s="98">
        <v>0</v>
      </c>
      <c r="AC38" s="98">
        <v>1</v>
      </c>
      <c r="AD38" s="98">
        <v>2</v>
      </c>
      <c r="AE38" s="98">
        <v>3</v>
      </c>
      <c r="AF38" s="98">
        <v>4</v>
      </c>
      <c r="AI38" s="47"/>
      <c r="AJ38" s="98">
        <v>0</v>
      </c>
      <c r="AK38" s="98">
        <v>1</v>
      </c>
      <c r="AL38" s="98">
        <v>2</v>
      </c>
      <c r="AM38" s="98">
        <v>3</v>
      </c>
      <c r="AN38" s="98">
        <v>4</v>
      </c>
      <c r="AQ38" s="47"/>
      <c r="AR38" s="98">
        <v>0</v>
      </c>
      <c r="AS38" s="98">
        <v>1</v>
      </c>
      <c r="AT38" s="98">
        <v>2</v>
      </c>
      <c r="AU38" s="98">
        <v>3</v>
      </c>
      <c r="AV38" s="98">
        <v>4</v>
      </c>
      <c r="AY38" s="47"/>
      <c r="AZ38" s="98">
        <v>0</v>
      </c>
      <c r="BA38" s="98">
        <v>1</v>
      </c>
      <c r="BB38" s="98">
        <v>2</v>
      </c>
      <c r="BC38" s="98">
        <v>3</v>
      </c>
      <c r="BD38" s="98">
        <v>4</v>
      </c>
    </row>
    <row r="39" spans="1:56" x14ac:dyDescent="0.3">
      <c r="A39" s="110">
        <v>4</v>
      </c>
      <c r="B39" s="110"/>
      <c r="C39" s="50">
        <v>1</v>
      </c>
      <c r="D39" s="42">
        <v>12</v>
      </c>
      <c r="E39" s="42" t="s">
        <v>29</v>
      </c>
      <c r="F39" s="42" t="s">
        <v>29</v>
      </c>
      <c r="G39" s="42" t="s">
        <v>29</v>
      </c>
      <c r="H39" s="42" t="s">
        <v>29</v>
      </c>
      <c r="K39" s="50">
        <v>1</v>
      </c>
      <c r="L39" s="42">
        <v>24</v>
      </c>
      <c r="M39" s="42" t="s">
        <v>29</v>
      </c>
      <c r="N39" s="42" t="s">
        <v>29</v>
      </c>
      <c r="O39" s="42" t="s">
        <v>29</v>
      </c>
      <c r="P39" s="42" t="s">
        <v>29</v>
      </c>
      <c r="S39" s="98">
        <v>1</v>
      </c>
      <c r="T39" s="42">
        <v>60</v>
      </c>
      <c r="U39" s="42" t="s">
        <v>29</v>
      </c>
      <c r="V39" s="42" t="s">
        <v>29</v>
      </c>
      <c r="W39" s="42" t="s">
        <v>29</v>
      </c>
      <c r="X39" s="42" t="s">
        <v>29</v>
      </c>
      <c r="AA39" s="98">
        <v>1</v>
      </c>
      <c r="AB39" s="42">
        <v>180</v>
      </c>
      <c r="AC39" s="42" t="s">
        <v>29</v>
      </c>
      <c r="AD39" s="42" t="s">
        <v>29</v>
      </c>
      <c r="AE39" s="42" t="s">
        <v>29</v>
      </c>
      <c r="AF39" s="42" t="s">
        <v>29</v>
      </c>
      <c r="AI39" s="98">
        <v>1</v>
      </c>
      <c r="AJ39" s="42">
        <v>540</v>
      </c>
      <c r="AK39" s="42" t="s">
        <v>29</v>
      </c>
      <c r="AL39" s="42" t="s">
        <v>29</v>
      </c>
      <c r="AM39" s="42" t="s">
        <v>29</v>
      </c>
      <c r="AN39" s="42" t="s">
        <v>29</v>
      </c>
      <c r="AQ39" s="98">
        <v>1</v>
      </c>
      <c r="AR39" s="42">
        <v>800</v>
      </c>
      <c r="AS39" s="42" t="s">
        <v>29</v>
      </c>
      <c r="AT39" s="42" t="s">
        <v>29</v>
      </c>
      <c r="AU39" s="42" t="s">
        <v>29</v>
      </c>
      <c r="AV39" s="42" t="s">
        <v>29</v>
      </c>
      <c r="AY39" s="98">
        <v>1</v>
      </c>
      <c r="AZ39" s="42">
        <v>1100</v>
      </c>
      <c r="BA39" s="42" t="s">
        <v>29</v>
      </c>
      <c r="BB39" s="42" t="s">
        <v>29</v>
      </c>
      <c r="BC39" s="42" t="s">
        <v>29</v>
      </c>
      <c r="BD39" s="42" t="s">
        <v>29</v>
      </c>
    </row>
    <row r="40" spans="1:56" x14ac:dyDescent="0.3">
      <c r="A40" s="110"/>
      <c r="B40" s="110"/>
      <c r="C40" s="50">
        <v>2</v>
      </c>
      <c r="D40" s="42">
        <v>12</v>
      </c>
      <c r="E40" s="42">
        <v>5</v>
      </c>
      <c r="F40" s="42" t="s">
        <v>29</v>
      </c>
      <c r="G40" s="42" t="s">
        <v>29</v>
      </c>
      <c r="H40" s="42" t="s">
        <v>29</v>
      </c>
      <c r="I40" s="4"/>
      <c r="J40" s="4"/>
      <c r="K40" s="50">
        <v>2</v>
      </c>
      <c r="L40" s="42">
        <v>24</v>
      </c>
      <c r="M40" s="42">
        <v>10</v>
      </c>
      <c r="N40" s="42" t="s">
        <v>29</v>
      </c>
      <c r="O40" s="42" t="s">
        <v>29</v>
      </c>
      <c r="P40" s="42" t="s">
        <v>29</v>
      </c>
      <c r="S40" s="98">
        <v>2</v>
      </c>
      <c r="T40" s="42">
        <v>60</v>
      </c>
      <c r="U40" s="42">
        <v>20</v>
      </c>
      <c r="V40" s="42" t="s">
        <v>29</v>
      </c>
      <c r="W40" s="42" t="s">
        <v>29</v>
      </c>
      <c r="X40" s="42" t="s">
        <v>29</v>
      </c>
      <c r="AA40" s="98">
        <v>2</v>
      </c>
      <c r="AB40" s="42">
        <v>180</v>
      </c>
      <c r="AC40" s="42">
        <v>78</v>
      </c>
      <c r="AD40" s="42" t="s">
        <v>29</v>
      </c>
      <c r="AE40" s="42" t="s">
        <v>29</v>
      </c>
      <c r="AF40" s="42" t="s">
        <v>29</v>
      </c>
      <c r="AI40" s="98">
        <v>2</v>
      </c>
      <c r="AJ40" s="42">
        <v>540</v>
      </c>
      <c r="AK40" s="42">
        <v>236</v>
      </c>
      <c r="AL40" s="42" t="s">
        <v>29</v>
      </c>
      <c r="AM40" s="42" t="s">
        <v>29</v>
      </c>
      <c r="AN40" s="42" t="s">
        <v>29</v>
      </c>
      <c r="AQ40" s="98">
        <v>2</v>
      </c>
      <c r="AR40" s="42">
        <v>800</v>
      </c>
      <c r="AS40" s="42">
        <v>350</v>
      </c>
      <c r="AT40" s="42" t="s">
        <v>29</v>
      </c>
      <c r="AU40" s="42" t="s">
        <v>29</v>
      </c>
      <c r="AV40" s="42" t="s">
        <v>29</v>
      </c>
      <c r="AY40" s="98">
        <v>2</v>
      </c>
      <c r="AZ40" s="42">
        <v>1100</v>
      </c>
      <c r="BA40" s="42">
        <v>481</v>
      </c>
      <c r="BB40" s="42" t="s">
        <v>29</v>
      </c>
      <c r="BC40" s="42" t="s">
        <v>29</v>
      </c>
      <c r="BD40" s="42" t="s">
        <v>29</v>
      </c>
    </row>
    <row r="41" spans="1:56" x14ac:dyDescent="0.3">
      <c r="A41" s="110"/>
      <c r="B41" s="110"/>
      <c r="C41" s="50">
        <v>3</v>
      </c>
      <c r="D41" s="42">
        <v>12</v>
      </c>
      <c r="E41" s="42">
        <v>6</v>
      </c>
      <c r="F41" s="42" t="s">
        <v>29</v>
      </c>
      <c r="G41" s="42" t="s">
        <v>29</v>
      </c>
      <c r="H41" s="42" t="s">
        <v>29</v>
      </c>
      <c r="I41" s="4"/>
      <c r="J41" s="4"/>
      <c r="K41" s="50">
        <v>3</v>
      </c>
      <c r="L41" s="42">
        <v>24</v>
      </c>
      <c r="M41" s="42">
        <v>14</v>
      </c>
      <c r="N41" s="42" t="s">
        <v>29</v>
      </c>
      <c r="O41" s="42" t="s">
        <v>29</v>
      </c>
      <c r="P41" s="42" t="s">
        <v>29</v>
      </c>
      <c r="S41" s="98">
        <v>3</v>
      </c>
      <c r="T41" s="42">
        <v>60</v>
      </c>
      <c r="U41" s="42">
        <v>34</v>
      </c>
      <c r="V41" s="42" t="s">
        <v>29</v>
      </c>
      <c r="W41" s="42" t="s">
        <v>29</v>
      </c>
      <c r="X41" s="42" t="s">
        <v>29</v>
      </c>
      <c r="AA41" s="98">
        <v>3</v>
      </c>
      <c r="AB41" s="42">
        <v>180</v>
      </c>
      <c r="AC41" s="42">
        <v>104</v>
      </c>
      <c r="AD41" s="42" t="s">
        <v>29</v>
      </c>
      <c r="AE41" s="42" t="s">
        <v>29</v>
      </c>
      <c r="AF41" s="42" t="s">
        <v>29</v>
      </c>
      <c r="AI41" s="98">
        <v>3</v>
      </c>
      <c r="AJ41" s="42">
        <v>540</v>
      </c>
      <c r="AK41" s="42">
        <v>314</v>
      </c>
      <c r="AL41" s="42" t="s">
        <v>29</v>
      </c>
      <c r="AM41" s="42" t="s">
        <v>29</v>
      </c>
      <c r="AN41" s="42" t="s">
        <v>29</v>
      </c>
      <c r="AQ41" s="98">
        <v>3</v>
      </c>
      <c r="AR41" s="42">
        <v>798</v>
      </c>
      <c r="AS41" s="42">
        <v>466</v>
      </c>
      <c r="AT41" s="42" t="s">
        <v>29</v>
      </c>
      <c r="AU41" s="42" t="s">
        <v>29</v>
      </c>
      <c r="AV41" s="42" t="s">
        <v>29</v>
      </c>
      <c r="AY41" s="98">
        <v>3</v>
      </c>
      <c r="AZ41" s="42">
        <v>1098</v>
      </c>
      <c r="BA41" s="42">
        <v>640</v>
      </c>
      <c r="BB41" s="42" t="s">
        <v>29</v>
      </c>
      <c r="BC41" s="42" t="s">
        <v>29</v>
      </c>
      <c r="BD41" s="42" t="s">
        <v>29</v>
      </c>
    </row>
    <row r="42" spans="1:56" x14ac:dyDescent="0.3">
      <c r="A42" s="110"/>
      <c r="B42" s="110"/>
      <c r="C42" s="50">
        <v>4</v>
      </c>
      <c r="D42" s="42">
        <v>12</v>
      </c>
      <c r="E42" s="42">
        <v>6</v>
      </c>
      <c r="F42" s="42">
        <v>4</v>
      </c>
      <c r="G42" s="42" t="s">
        <v>29</v>
      </c>
      <c r="H42" s="42" t="s">
        <v>29</v>
      </c>
      <c r="I42" s="41"/>
      <c r="J42" s="41"/>
      <c r="K42" s="50">
        <v>4</v>
      </c>
      <c r="L42" s="42">
        <v>24</v>
      </c>
      <c r="M42" s="42">
        <v>15</v>
      </c>
      <c r="N42" s="42">
        <v>8</v>
      </c>
      <c r="O42" s="42" t="s">
        <v>29</v>
      </c>
      <c r="P42" s="42" t="s">
        <v>29</v>
      </c>
      <c r="S42" s="98">
        <v>4</v>
      </c>
      <c r="T42" s="42">
        <v>60</v>
      </c>
      <c r="U42" s="42">
        <v>39</v>
      </c>
      <c r="V42" s="42">
        <v>22</v>
      </c>
      <c r="W42" s="42" t="s">
        <v>29</v>
      </c>
      <c r="X42" s="42" t="s">
        <v>29</v>
      </c>
      <c r="AA42" s="98">
        <v>4</v>
      </c>
      <c r="AB42" s="42">
        <v>180</v>
      </c>
      <c r="AC42" s="42">
        <v>117</v>
      </c>
      <c r="AD42" s="42">
        <v>66</v>
      </c>
      <c r="AE42" s="42" t="s">
        <v>29</v>
      </c>
      <c r="AF42" s="42" t="s">
        <v>29</v>
      </c>
      <c r="AI42" s="98">
        <v>4</v>
      </c>
      <c r="AJ42" s="42">
        <v>540</v>
      </c>
      <c r="AK42" s="42">
        <v>354</v>
      </c>
      <c r="AL42" s="42">
        <v>202</v>
      </c>
      <c r="AM42" s="42" t="s">
        <v>29</v>
      </c>
      <c r="AN42" s="42" t="s">
        <v>29</v>
      </c>
      <c r="AQ42" s="98">
        <v>4</v>
      </c>
      <c r="AR42" s="42">
        <v>800</v>
      </c>
      <c r="AS42" s="42">
        <v>525</v>
      </c>
      <c r="AT42" s="42">
        <v>300</v>
      </c>
      <c r="AU42" s="42" t="s">
        <v>29</v>
      </c>
      <c r="AV42" s="42" t="s">
        <v>29</v>
      </c>
      <c r="AY42" s="98">
        <v>4</v>
      </c>
      <c r="AZ42" s="42">
        <v>1100</v>
      </c>
      <c r="BA42" s="42">
        <v>720</v>
      </c>
      <c r="BB42" s="42">
        <v>412</v>
      </c>
      <c r="BC42" s="42" t="s">
        <v>29</v>
      </c>
      <c r="BD42" s="42" t="s">
        <v>29</v>
      </c>
    </row>
    <row r="43" spans="1:56" x14ac:dyDescent="0.3">
      <c r="A43" s="110"/>
      <c r="B43" s="110"/>
      <c r="C43" s="50">
        <v>5</v>
      </c>
      <c r="D43" s="42">
        <v>10</v>
      </c>
      <c r="E43" s="42">
        <v>8</v>
      </c>
      <c r="F43" s="42">
        <v>3</v>
      </c>
      <c r="G43" s="42" t="s">
        <v>29</v>
      </c>
      <c r="H43" s="42" t="s">
        <v>29</v>
      </c>
      <c r="I43" s="41"/>
      <c r="J43" s="41"/>
      <c r="K43" s="50">
        <v>5</v>
      </c>
      <c r="L43" s="42">
        <v>20</v>
      </c>
      <c r="M43" s="42">
        <v>16</v>
      </c>
      <c r="N43" s="42">
        <v>9</v>
      </c>
      <c r="O43" s="42" t="s">
        <v>29</v>
      </c>
      <c r="P43" s="42" t="s">
        <v>29</v>
      </c>
      <c r="S43" s="98">
        <v>5</v>
      </c>
      <c r="T43" s="42">
        <v>60</v>
      </c>
      <c r="U43" s="42">
        <v>40</v>
      </c>
      <c r="V43" s="42">
        <v>27</v>
      </c>
      <c r="W43" s="42" t="s">
        <v>29</v>
      </c>
      <c r="X43" s="42" t="s">
        <v>29</v>
      </c>
      <c r="AA43" s="98">
        <v>5</v>
      </c>
      <c r="AB43" s="42">
        <v>180</v>
      </c>
      <c r="AC43" s="42">
        <v>124</v>
      </c>
      <c r="AD43" s="42">
        <v>81</v>
      </c>
      <c r="AE43" s="42" t="s">
        <v>29</v>
      </c>
      <c r="AF43" s="42" t="s">
        <v>29</v>
      </c>
      <c r="AI43" s="98">
        <v>5</v>
      </c>
      <c r="AJ43" s="42">
        <v>540</v>
      </c>
      <c r="AK43" s="42">
        <v>376</v>
      </c>
      <c r="AL43" s="42">
        <v>243</v>
      </c>
      <c r="AM43" s="42" t="s">
        <v>29</v>
      </c>
      <c r="AN43" s="42" t="s">
        <v>29</v>
      </c>
      <c r="AQ43" s="98">
        <v>5</v>
      </c>
      <c r="AR43" s="42">
        <v>800</v>
      </c>
      <c r="AS43" s="42">
        <v>560</v>
      </c>
      <c r="AT43" s="42">
        <v>360</v>
      </c>
      <c r="AU43" s="42" t="s">
        <v>29</v>
      </c>
      <c r="AV43" s="42" t="s">
        <v>29</v>
      </c>
      <c r="AY43" s="98">
        <v>5</v>
      </c>
      <c r="AZ43" s="42">
        <v>1100</v>
      </c>
      <c r="BA43" s="42">
        <v>768</v>
      </c>
      <c r="BB43" s="42">
        <v>495</v>
      </c>
      <c r="BC43" s="42" t="s">
        <v>29</v>
      </c>
      <c r="BD43" s="42" t="s">
        <v>29</v>
      </c>
    </row>
    <row r="44" spans="1:56" x14ac:dyDescent="0.3">
      <c r="A44" s="110"/>
      <c r="B44" s="110"/>
      <c r="C44" s="50">
        <v>6</v>
      </c>
      <c r="D44" s="42">
        <v>12</v>
      </c>
      <c r="E44" s="42">
        <v>5</v>
      </c>
      <c r="F44" s="42">
        <v>4</v>
      </c>
      <c r="G44" s="42">
        <v>3</v>
      </c>
      <c r="H44" s="42" t="s">
        <v>29</v>
      </c>
      <c r="I44" s="41"/>
      <c r="J44" s="41"/>
      <c r="K44" s="50">
        <v>6</v>
      </c>
      <c r="L44" s="42">
        <v>24</v>
      </c>
      <c r="M44" s="42">
        <v>15</v>
      </c>
      <c r="N44" s="42">
        <v>12</v>
      </c>
      <c r="O44" s="42">
        <v>6</v>
      </c>
      <c r="P44" s="42" t="s">
        <v>29</v>
      </c>
      <c r="S44" s="98">
        <v>6</v>
      </c>
      <c r="T44" s="42">
        <v>60</v>
      </c>
      <c r="U44" s="42">
        <v>40</v>
      </c>
      <c r="V44" s="42">
        <v>28</v>
      </c>
      <c r="W44" s="42">
        <v>18</v>
      </c>
      <c r="X44" s="42" t="s">
        <v>29</v>
      </c>
      <c r="AA44" s="98">
        <v>6</v>
      </c>
      <c r="AB44" s="42">
        <v>180</v>
      </c>
      <c r="AC44" s="42">
        <v>130</v>
      </c>
      <c r="AD44" s="42">
        <v>88</v>
      </c>
      <c r="AE44" s="42">
        <v>54</v>
      </c>
      <c r="AF44" s="42" t="s">
        <v>29</v>
      </c>
      <c r="AI44" s="98">
        <v>6</v>
      </c>
      <c r="AJ44" s="42">
        <v>540</v>
      </c>
      <c r="AK44" s="42">
        <v>390</v>
      </c>
      <c r="AL44" s="42">
        <v>268</v>
      </c>
      <c r="AM44" s="42">
        <v>168</v>
      </c>
      <c r="AN44" s="42" t="s">
        <v>29</v>
      </c>
      <c r="AQ44" s="98">
        <v>6</v>
      </c>
      <c r="AR44" s="42">
        <v>798</v>
      </c>
      <c r="AS44" s="42">
        <v>580</v>
      </c>
      <c r="AT44" s="42">
        <v>400</v>
      </c>
      <c r="AU44" s="42">
        <v>244</v>
      </c>
      <c r="AV44" s="42" t="s">
        <v>29</v>
      </c>
      <c r="AY44" s="98">
        <v>6</v>
      </c>
      <c r="AZ44" s="42">
        <v>1098</v>
      </c>
      <c r="BA44" s="42">
        <v>800</v>
      </c>
      <c r="BB44" s="42">
        <v>548</v>
      </c>
      <c r="BC44" s="42">
        <v>342</v>
      </c>
      <c r="BD44" s="42" t="s">
        <v>29</v>
      </c>
    </row>
    <row r="45" spans="1:56" x14ac:dyDescent="0.3">
      <c r="A45" s="110"/>
      <c r="B45" s="110"/>
      <c r="C45" s="50">
        <v>7</v>
      </c>
      <c r="D45" s="42">
        <v>7</v>
      </c>
      <c r="E45" s="42">
        <v>6</v>
      </c>
      <c r="F45" s="42">
        <v>5</v>
      </c>
      <c r="G45" s="42">
        <v>4</v>
      </c>
      <c r="H45" s="42" t="s">
        <v>29</v>
      </c>
      <c r="I45" s="41"/>
      <c r="J45" s="41"/>
      <c r="K45" s="50">
        <v>7</v>
      </c>
      <c r="L45" s="42">
        <v>21</v>
      </c>
      <c r="M45" s="42">
        <v>18</v>
      </c>
      <c r="N45" s="42">
        <v>10</v>
      </c>
      <c r="O45" s="42">
        <v>8</v>
      </c>
      <c r="P45" s="42" t="s">
        <v>29</v>
      </c>
      <c r="S45" s="98">
        <v>7</v>
      </c>
      <c r="T45" s="42">
        <v>56</v>
      </c>
      <c r="U45" s="42">
        <v>42</v>
      </c>
      <c r="V45" s="42">
        <v>30</v>
      </c>
      <c r="W45" s="42">
        <v>20</v>
      </c>
      <c r="X45" s="42" t="s">
        <v>29</v>
      </c>
      <c r="AA45" s="98">
        <v>7</v>
      </c>
      <c r="AB45" s="42">
        <v>175</v>
      </c>
      <c r="AC45" s="42">
        <v>132</v>
      </c>
      <c r="AD45" s="42">
        <v>95</v>
      </c>
      <c r="AE45" s="42">
        <v>64</v>
      </c>
      <c r="AF45" s="42" t="s">
        <v>29</v>
      </c>
      <c r="AI45" s="98">
        <v>7</v>
      </c>
      <c r="AJ45" s="42">
        <v>539</v>
      </c>
      <c r="AK45" s="42">
        <v>402</v>
      </c>
      <c r="AL45" s="42">
        <v>285</v>
      </c>
      <c r="AM45" s="42">
        <v>192</v>
      </c>
      <c r="AN45" s="42" t="s">
        <v>29</v>
      </c>
      <c r="AQ45" s="98">
        <v>7</v>
      </c>
      <c r="AR45" s="42">
        <v>798</v>
      </c>
      <c r="AS45" s="42">
        <v>600</v>
      </c>
      <c r="AT45" s="42">
        <v>425</v>
      </c>
      <c r="AU45" s="42">
        <v>284</v>
      </c>
      <c r="AV45" s="42" t="s">
        <v>29</v>
      </c>
      <c r="AY45" s="98">
        <v>7</v>
      </c>
      <c r="AZ45" s="42">
        <v>1099</v>
      </c>
      <c r="BA45" s="42">
        <v>822</v>
      </c>
      <c r="BB45" s="42">
        <v>585</v>
      </c>
      <c r="BC45" s="42">
        <v>392</v>
      </c>
      <c r="BD45" s="42" t="s">
        <v>29</v>
      </c>
    </row>
    <row r="46" spans="1:56" x14ac:dyDescent="0.3">
      <c r="A46" s="110"/>
      <c r="B46" s="110"/>
      <c r="C46" s="50">
        <v>8</v>
      </c>
      <c r="D46" s="42">
        <v>8</v>
      </c>
      <c r="E46" s="42">
        <v>7</v>
      </c>
      <c r="F46" s="42">
        <v>6</v>
      </c>
      <c r="G46" s="42">
        <v>5</v>
      </c>
      <c r="H46" s="42">
        <v>4</v>
      </c>
      <c r="I46" s="41"/>
      <c r="J46" s="41"/>
      <c r="K46" s="50">
        <v>8</v>
      </c>
      <c r="L46" s="42">
        <v>24</v>
      </c>
      <c r="M46" s="42">
        <v>14</v>
      </c>
      <c r="N46" s="42">
        <v>12</v>
      </c>
      <c r="O46" s="42">
        <v>5</v>
      </c>
      <c r="P46" s="42">
        <v>4</v>
      </c>
      <c r="S46" s="98">
        <v>8</v>
      </c>
      <c r="T46" s="42">
        <v>56</v>
      </c>
      <c r="U46" s="42">
        <v>42</v>
      </c>
      <c r="V46" s="42">
        <v>30</v>
      </c>
      <c r="W46" s="42">
        <v>20</v>
      </c>
      <c r="X46" s="42">
        <v>12</v>
      </c>
      <c r="AA46" s="98">
        <v>8</v>
      </c>
      <c r="AB46" s="42">
        <v>176</v>
      </c>
      <c r="AC46" s="42">
        <v>133</v>
      </c>
      <c r="AD46" s="42">
        <v>96</v>
      </c>
      <c r="AE46" s="42">
        <v>70</v>
      </c>
      <c r="AF46" s="42">
        <v>44</v>
      </c>
      <c r="AI46" s="98">
        <v>8</v>
      </c>
      <c r="AJ46" s="42">
        <v>536</v>
      </c>
      <c r="AK46" s="42">
        <v>413</v>
      </c>
      <c r="AL46" s="42">
        <v>300</v>
      </c>
      <c r="AM46" s="42">
        <v>210</v>
      </c>
      <c r="AN46" s="42">
        <v>132</v>
      </c>
      <c r="AQ46" s="98">
        <v>8</v>
      </c>
      <c r="AR46" s="42">
        <v>800</v>
      </c>
      <c r="AS46" s="42">
        <v>609</v>
      </c>
      <c r="AT46" s="42">
        <v>450</v>
      </c>
      <c r="AU46" s="42">
        <v>310</v>
      </c>
      <c r="AV46" s="42">
        <v>200</v>
      </c>
      <c r="AY46" s="98">
        <v>8</v>
      </c>
      <c r="AZ46" s="42">
        <v>1096</v>
      </c>
      <c r="BA46" s="42">
        <v>840</v>
      </c>
      <c r="BB46" s="42">
        <v>618</v>
      </c>
      <c r="BC46" s="42">
        <v>425</v>
      </c>
      <c r="BD46" s="42">
        <v>272</v>
      </c>
    </row>
    <row r="47" spans="1:56" x14ac:dyDescent="0.3">
      <c r="A47" s="110"/>
      <c r="B47" s="110"/>
      <c r="C47" s="50">
        <v>9</v>
      </c>
      <c r="D47" s="42">
        <v>9</v>
      </c>
      <c r="E47" s="42">
        <v>8</v>
      </c>
      <c r="F47" s="42">
        <v>7</v>
      </c>
      <c r="G47" s="42">
        <v>6</v>
      </c>
      <c r="H47" s="42">
        <v>5</v>
      </c>
      <c r="I47" s="41"/>
      <c r="J47" s="41"/>
      <c r="K47" s="50">
        <v>9</v>
      </c>
      <c r="L47" s="42">
        <v>18</v>
      </c>
      <c r="M47" s="42">
        <v>16</v>
      </c>
      <c r="N47" s="42">
        <v>14</v>
      </c>
      <c r="O47" s="42">
        <v>6</v>
      </c>
      <c r="P47" s="42">
        <v>5</v>
      </c>
      <c r="S47" s="98">
        <v>9</v>
      </c>
      <c r="T47" s="42">
        <v>54</v>
      </c>
      <c r="U47" s="42">
        <v>40</v>
      </c>
      <c r="V47" s="42">
        <v>35</v>
      </c>
      <c r="W47" s="42">
        <v>24</v>
      </c>
      <c r="X47" s="42">
        <v>15</v>
      </c>
      <c r="AA47" s="98">
        <v>9</v>
      </c>
      <c r="AB47" s="42">
        <v>180</v>
      </c>
      <c r="AC47" s="42">
        <v>136</v>
      </c>
      <c r="AD47" s="42">
        <v>105</v>
      </c>
      <c r="AE47" s="42">
        <v>72</v>
      </c>
      <c r="AF47" s="42">
        <v>50</v>
      </c>
      <c r="AI47" s="98">
        <v>9</v>
      </c>
      <c r="AJ47" s="42">
        <v>540</v>
      </c>
      <c r="AK47" s="42">
        <v>416</v>
      </c>
      <c r="AL47" s="42">
        <v>315</v>
      </c>
      <c r="AM47" s="42">
        <v>222</v>
      </c>
      <c r="AN47" s="42">
        <v>150</v>
      </c>
      <c r="AQ47" s="98">
        <v>9</v>
      </c>
      <c r="AR47" s="42">
        <v>7920</v>
      </c>
      <c r="AS47" s="42">
        <v>616</v>
      </c>
      <c r="AT47" s="42">
        <v>462</v>
      </c>
      <c r="AU47" s="42">
        <v>330</v>
      </c>
      <c r="AV47" s="42">
        <v>220</v>
      </c>
      <c r="AY47" s="98">
        <v>9</v>
      </c>
      <c r="AZ47" s="42">
        <v>1098</v>
      </c>
      <c r="BA47" s="42">
        <v>848</v>
      </c>
      <c r="BB47" s="42">
        <v>637</v>
      </c>
      <c r="BC47" s="42">
        <v>456</v>
      </c>
      <c r="BD47" s="42">
        <v>305</v>
      </c>
    </row>
    <row r="49" spans="1:56" ht="15" x14ac:dyDescent="0.25">
      <c r="D49" s="109" t="s">
        <v>31</v>
      </c>
      <c r="E49" s="109"/>
      <c r="F49" s="109"/>
      <c r="G49" s="109"/>
      <c r="H49" s="109"/>
      <c r="L49" s="109" t="s">
        <v>30</v>
      </c>
      <c r="M49" s="109"/>
      <c r="N49" s="109"/>
      <c r="O49" s="109"/>
      <c r="P49" s="109"/>
      <c r="T49" s="109" t="s">
        <v>32</v>
      </c>
      <c r="U49" s="109"/>
      <c r="V49" s="109"/>
      <c r="W49" s="109"/>
      <c r="X49" s="109"/>
      <c r="AB49" s="109" t="s">
        <v>33</v>
      </c>
      <c r="AC49" s="109"/>
      <c r="AD49" s="109"/>
      <c r="AE49" s="109"/>
      <c r="AF49" s="109"/>
      <c r="AJ49" s="109" t="s">
        <v>34</v>
      </c>
      <c r="AK49" s="109"/>
      <c r="AL49" s="109"/>
      <c r="AM49" s="109"/>
      <c r="AN49" s="109"/>
      <c r="AR49" s="109" t="s">
        <v>35</v>
      </c>
      <c r="AS49" s="109"/>
      <c r="AT49" s="109"/>
      <c r="AU49" s="109"/>
      <c r="AV49" s="109"/>
      <c r="AZ49" s="109" t="s">
        <v>36</v>
      </c>
      <c r="BA49" s="109"/>
      <c r="BB49" s="109"/>
      <c r="BC49" s="109"/>
      <c r="BD49" s="109"/>
    </row>
    <row r="50" spans="1:56" ht="15" x14ac:dyDescent="0.25">
      <c r="C50" s="47"/>
      <c r="D50" s="50">
        <v>0</v>
      </c>
      <c r="E50" s="50">
        <v>1</v>
      </c>
      <c r="F50" s="50">
        <v>2</v>
      </c>
      <c r="G50" s="50">
        <v>3</v>
      </c>
      <c r="H50" s="50">
        <v>4</v>
      </c>
      <c r="K50" s="47"/>
      <c r="L50" s="50">
        <v>0</v>
      </c>
      <c r="M50" s="50">
        <v>1</v>
      </c>
      <c r="N50" s="50">
        <v>2</v>
      </c>
      <c r="O50" s="50">
        <v>3</v>
      </c>
      <c r="P50" s="50">
        <v>4</v>
      </c>
      <c r="S50" s="47"/>
      <c r="T50" s="98">
        <v>0</v>
      </c>
      <c r="U50" s="98">
        <v>1</v>
      </c>
      <c r="V50" s="98">
        <v>2</v>
      </c>
      <c r="W50" s="98">
        <v>3</v>
      </c>
      <c r="X50" s="98">
        <v>4</v>
      </c>
      <c r="AA50" s="47"/>
      <c r="AB50" s="98">
        <v>0</v>
      </c>
      <c r="AC50" s="98">
        <v>1</v>
      </c>
      <c r="AD50" s="98">
        <v>2</v>
      </c>
      <c r="AE50" s="98">
        <v>3</v>
      </c>
      <c r="AF50" s="98">
        <v>4</v>
      </c>
      <c r="AI50" s="47"/>
      <c r="AJ50" s="98">
        <v>0</v>
      </c>
      <c r="AK50" s="98">
        <v>1</v>
      </c>
      <c r="AL50" s="98">
        <v>2</v>
      </c>
      <c r="AM50" s="98">
        <v>3</v>
      </c>
      <c r="AN50" s="98">
        <v>4</v>
      </c>
      <c r="AQ50" s="47"/>
      <c r="AR50" s="98">
        <v>0</v>
      </c>
      <c r="AS50" s="98">
        <v>1</v>
      </c>
      <c r="AT50" s="98">
        <v>2</v>
      </c>
      <c r="AU50" s="98">
        <v>3</v>
      </c>
      <c r="AV50" s="98">
        <v>4</v>
      </c>
      <c r="AY50" s="47"/>
      <c r="AZ50" s="98">
        <v>0</v>
      </c>
      <c r="BA50" s="98">
        <v>1</v>
      </c>
      <c r="BB50" s="98">
        <v>2</v>
      </c>
      <c r="BC50" s="98">
        <v>3</v>
      </c>
      <c r="BD50" s="98">
        <v>4</v>
      </c>
    </row>
    <row r="51" spans="1:56" x14ac:dyDescent="0.3">
      <c r="A51" s="110">
        <v>5</v>
      </c>
      <c r="B51" s="110"/>
      <c r="C51" s="50">
        <v>1</v>
      </c>
      <c r="D51" s="42">
        <v>16</v>
      </c>
      <c r="E51" s="42" t="s">
        <v>29</v>
      </c>
      <c r="F51" s="42" t="s">
        <v>29</v>
      </c>
      <c r="G51" s="42" t="s">
        <v>29</v>
      </c>
      <c r="H51" s="42" t="s">
        <v>29</v>
      </c>
      <c r="K51" s="50">
        <v>1</v>
      </c>
      <c r="L51" s="42">
        <v>32</v>
      </c>
      <c r="M51" s="42" t="s">
        <v>29</v>
      </c>
      <c r="N51" s="42" t="s">
        <v>29</v>
      </c>
      <c r="O51" s="42" t="s">
        <v>29</v>
      </c>
      <c r="P51" s="42" t="s">
        <v>29</v>
      </c>
      <c r="S51" s="98">
        <v>1</v>
      </c>
      <c r="T51" s="42">
        <v>80</v>
      </c>
      <c r="U51" s="42" t="s">
        <v>29</v>
      </c>
      <c r="V51" s="42" t="s">
        <v>29</v>
      </c>
      <c r="W51" s="42" t="s">
        <v>29</v>
      </c>
      <c r="X51" s="42" t="s">
        <v>29</v>
      </c>
      <c r="AA51" s="98">
        <v>1</v>
      </c>
      <c r="AB51" s="42">
        <v>200</v>
      </c>
      <c r="AC51" s="42" t="s">
        <v>29</v>
      </c>
      <c r="AD51" s="42" t="s">
        <v>29</v>
      </c>
      <c r="AE51" s="42" t="s">
        <v>29</v>
      </c>
      <c r="AF51" s="42" t="s">
        <v>29</v>
      </c>
      <c r="AI51" s="98">
        <v>1</v>
      </c>
      <c r="AJ51" s="42">
        <v>600</v>
      </c>
      <c r="AK51" s="42" t="s">
        <v>29</v>
      </c>
      <c r="AL51" s="42" t="s">
        <v>29</v>
      </c>
      <c r="AM51" s="42" t="s">
        <v>29</v>
      </c>
      <c r="AN51" s="42" t="s">
        <v>29</v>
      </c>
      <c r="AQ51" s="98">
        <v>1</v>
      </c>
      <c r="AR51" s="42">
        <v>900</v>
      </c>
      <c r="AS51" s="42" t="s">
        <v>29</v>
      </c>
      <c r="AT51" s="42" t="s">
        <v>29</v>
      </c>
      <c r="AU51" s="42" t="s">
        <v>29</v>
      </c>
      <c r="AV51" s="42" t="s">
        <v>29</v>
      </c>
      <c r="AY51" s="98">
        <v>1</v>
      </c>
      <c r="AZ51" s="42">
        <v>1200</v>
      </c>
      <c r="BA51" s="42" t="s">
        <v>29</v>
      </c>
      <c r="BB51" s="42" t="s">
        <v>29</v>
      </c>
      <c r="BC51" s="42" t="s">
        <v>29</v>
      </c>
      <c r="BD51" s="42" t="s">
        <v>29</v>
      </c>
    </row>
    <row r="52" spans="1:56" x14ac:dyDescent="0.3">
      <c r="A52" s="110"/>
      <c r="B52" s="110"/>
      <c r="C52" s="50">
        <v>2</v>
      </c>
      <c r="D52" s="42">
        <v>16</v>
      </c>
      <c r="E52" s="42">
        <v>7</v>
      </c>
      <c r="F52" s="42" t="s">
        <v>29</v>
      </c>
      <c r="G52" s="42" t="s">
        <v>29</v>
      </c>
      <c r="H52" s="42" t="s">
        <v>29</v>
      </c>
      <c r="I52" s="4"/>
      <c r="J52" s="4"/>
      <c r="K52" s="50">
        <v>2</v>
      </c>
      <c r="L52" s="42">
        <v>32</v>
      </c>
      <c r="M52" s="42">
        <v>14</v>
      </c>
      <c r="N52" s="42" t="s">
        <v>29</v>
      </c>
      <c r="O52" s="42" t="s">
        <v>29</v>
      </c>
      <c r="P52" s="42" t="s">
        <v>29</v>
      </c>
      <c r="S52" s="98">
        <v>2</v>
      </c>
      <c r="T52" s="42">
        <v>80</v>
      </c>
      <c r="U52" s="42">
        <v>35</v>
      </c>
      <c r="V52" s="42" t="s">
        <v>29</v>
      </c>
      <c r="W52" s="42" t="s">
        <v>29</v>
      </c>
      <c r="X52" s="42" t="s">
        <v>29</v>
      </c>
      <c r="AA52" s="98">
        <v>2</v>
      </c>
      <c r="AB52" s="42">
        <v>200</v>
      </c>
      <c r="AC52" s="42">
        <v>87</v>
      </c>
      <c r="AD52" s="42" t="s">
        <v>29</v>
      </c>
      <c r="AE52" s="42" t="s">
        <v>29</v>
      </c>
      <c r="AF52" s="42" t="s">
        <v>29</v>
      </c>
      <c r="AI52" s="98">
        <v>2</v>
      </c>
      <c r="AJ52" s="42">
        <v>600</v>
      </c>
      <c r="AK52" s="42">
        <v>262</v>
      </c>
      <c r="AL52" s="42" t="s">
        <v>29</v>
      </c>
      <c r="AM52" s="42" t="s">
        <v>29</v>
      </c>
      <c r="AN52" s="42" t="s">
        <v>29</v>
      </c>
      <c r="AQ52" s="98">
        <v>2</v>
      </c>
      <c r="AR52" s="42">
        <v>900</v>
      </c>
      <c r="AS52" s="42">
        <v>393</v>
      </c>
      <c r="AT52" s="42" t="s">
        <v>29</v>
      </c>
      <c r="AU52" s="42" t="s">
        <v>29</v>
      </c>
      <c r="AV52" s="42" t="s">
        <v>29</v>
      </c>
      <c r="AY52" s="98">
        <v>2</v>
      </c>
      <c r="AZ52" s="42">
        <v>1200</v>
      </c>
      <c r="BA52" s="42">
        <v>525</v>
      </c>
      <c r="BB52" s="42" t="s">
        <v>29</v>
      </c>
      <c r="BC52" s="42" t="s">
        <v>29</v>
      </c>
      <c r="BD52" s="42" t="s">
        <v>29</v>
      </c>
    </row>
    <row r="53" spans="1:56" x14ac:dyDescent="0.3">
      <c r="A53" s="110"/>
      <c r="B53" s="110"/>
      <c r="C53" s="50">
        <v>3</v>
      </c>
      <c r="D53" s="42">
        <v>15</v>
      </c>
      <c r="E53" s="42">
        <v>8</v>
      </c>
      <c r="F53" s="42" t="s">
        <v>29</v>
      </c>
      <c r="G53" s="42" t="s">
        <v>29</v>
      </c>
      <c r="H53" s="42" t="s">
        <v>29</v>
      </c>
      <c r="I53" s="4"/>
      <c r="J53" s="4"/>
      <c r="K53" s="50">
        <v>3</v>
      </c>
      <c r="L53" s="42">
        <v>30</v>
      </c>
      <c r="M53" s="42">
        <v>18</v>
      </c>
      <c r="N53" s="42" t="s">
        <v>29</v>
      </c>
      <c r="O53" s="42" t="s">
        <v>29</v>
      </c>
      <c r="P53" s="42" t="s">
        <v>29</v>
      </c>
      <c r="S53" s="98">
        <v>3</v>
      </c>
      <c r="T53" s="42">
        <v>78</v>
      </c>
      <c r="U53" s="42">
        <v>46</v>
      </c>
      <c r="V53" s="42" t="s">
        <v>29</v>
      </c>
      <c r="W53" s="42" t="s">
        <v>29</v>
      </c>
      <c r="X53" s="42" t="s">
        <v>29</v>
      </c>
      <c r="AA53" s="98">
        <v>3</v>
      </c>
      <c r="AB53" s="42">
        <v>198</v>
      </c>
      <c r="AC53" s="42">
        <v>116</v>
      </c>
      <c r="AD53" s="42" t="s">
        <v>29</v>
      </c>
      <c r="AE53" s="42" t="s">
        <v>29</v>
      </c>
      <c r="AF53" s="42" t="s">
        <v>29</v>
      </c>
      <c r="AI53" s="98">
        <v>3</v>
      </c>
      <c r="AJ53" s="42">
        <v>600</v>
      </c>
      <c r="AK53" s="42">
        <v>350</v>
      </c>
      <c r="AL53" s="42" t="s">
        <v>29</v>
      </c>
      <c r="AM53" s="42" t="s">
        <v>29</v>
      </c>
      <c r="AN53" s="42" t="s">
        <v>29</v>
      </c>
      <c r="AQ53" s="98">
        <v>3</v>
      </c>
      <c r="AR53" s="42">
        <v>900</v>
      </c>
      <c r="AS53" s="42">
        <v>524</v>
      </c>
      <c r="AT53" s="42" t="s">
        <v>29</v>
      </c>
      <c r="AU53" s="42" t="s">
        <v>29</v>
      </c>
      <c r="AV53" s="42" t="s">
        <v>29</v>
      </c>
      <c r="AY53" s="98">
        <v>3</v>
      </c>
      <c r="AZ53" s="42">
        <v>1200</v>
      </c>
      <c r="BA53" s="42">
        <v>700</v>
      </c>
      <c r="BB53" s="42" t="s">
        <v>29</v>
      </c>
      <c r="BC53" s="42" t="s">
        <v>29</v>
      </c>
      <c r="BD53" s="42" t="s">
        <v>29</v>
      </c>
    </row>
    <row r="54" spans="1:56" x14ac:dyDescent="0.3">
      <c r="A54" s="110"/>
      <c r="B54" s="110"/>
      <c r="C54" s="50">
        <v>4</v>
      </c>
      <c r="D54" s="42">
        <v>16</v>
      </c>
      <c r="E54" s="42">
        <v>9</v>
      </c>
      <c r="F54" s="42">
        <v>6</v>
      </c>
      <c r="G54" s="42" t="s">
        <v>29</v>
      </c>
      <c r="H54" s="42" t="s">
        <v>29</v>
      </c>
      <c r="I54" s="41"/>
      <c r="J54" s="41"/>
      <c r="K54" s="50">
        <v>4</v>
      </c>
      <c r="L54" s="42">
        <v>32</v>
      </c>
      <c r="M54" s="42">
        <v>21</v>
      </c>
      <c r="N54" s="42">
        <v>12</v>
      </c>
      <c r="O54" s="42" t="s">
        <v>29</v>
      </c>
      <c r="P54" s="42" t="s">
        <v>29</v>
      </c>
      <c r="S54" s="98">
        <v>4</v>
      </c>
      <c r="T54" s="42">
        <v>80</v>
      </c>
      <c r="U54" s="42">
        <v>51</v>
      </c>
      <c r="V54" s="42">
        <v>30</v>
      </c>
      <c r="W54" s="42" t="s">
        <v>29</v>
      </c>
      <c r="X54" s="42" t="s">
        <v>29</v>
      </c>
      <c r="AA54" s="98">
        <v>4</v>
      </c>
      <c r="AB54" s="42">
        <v>200</v>
      </c>
      <c r="AC54" s="42">
        <v>129</v>
      </c>
      <c r="AD54" s="42">
        <v>74</v>
      </c>
      <c r="AE54" s="42" t="s">
        <v>29</v>
      </c>
      <c r="AF54" s="42" t="s">
        <v>29</v>
      </c>
      <c r="AI54" s="98">
        <v>4</v>
      </c>
      <c r="AJ54" s="42">
        <v>600</v>
      </c>
      <c r="AK54" s="42">
        <v>393</v>
      </c>
      <c r="AL54" s="42">
        <v>224</v>
      </c>
      <c r="AM54" s="42" t="s">
        <v>29</v>
      </c>
      <c r="AN54" s="42" t="s">
        <v>29</v>
      </c>
      <c r="AQ54" s="98">
        <v>4</v>
      </c>
      <c r="AR54" s="42">
        <v>900</v>
      </c>
      <c r="AS54" s="42">
        <v>588</v>
      </c>
      <c r="AT54" s="42">
        <v>336</v>
      </c>
      <c r="AU54" s="42" t="s">
        <v>29</v>
      </c>
      <c r="AV54" s="42" t="s">
        <v>29</v>
      </c>
      <c r="AY54" s="98">
        <v>4</v>
      </c>
      <c r="AZ54" s="42">
        <v>1200</v>
      </c>
      <c r="BA54" s="42">
        <v>786</v>
      </c>
      <c r="BB54" s="42">
        <v>450</v>
      </c>
      <c r="BC54" s="42" t="s">
        <v>29</v>
      </c>
      <c r="BD54" s="42" t="s">
        <v>29</v>
      </c>
    </row>
    <row r="55" spans="1:56" x14ac:dyDescent="0.3">
      <c r="A55" s="110"/>
      <c r="B55" s="110"/>
      <c r="C55" s="50">
        <v>5</v>
      </c>
      <c r="D55" s="42">
        <v>15</v>
      </c>
      <c r="E55" s="42">
        <v>8</v>
      </c>
      <c r="F55" s="42">
        <v>6</v>
      </c>
      <c r="G55" s="42" t="s">
        <v>29</v>
      </c>
      <c r="H55" s="42" t="s">
        <v>29</v>
      </c>
      <c r="I55" s="41"/>
      <c r="J55" s="41"/>
      <c r="K55" s="50">
        <v>5</v>
      </c>
      <c r="L55" s="42">
        <v>30</v>
      </c>
      <c r="M55" s="42">
        <v>20</v>
      </c>
      <c r="N55" s="42">
        <v>12</v>
      </c>
      <c r="O55" s="42" t="s">
        <v>29</v>
      </c>
      <c r="P55" s="42" t="s">
        <v>29</v>
      </c>
      <c r="S55" s="98">
        <v>5</v>
      </c>
      <c r="T55" s="42">
        <v>80</v>
      </c>
      <c r="U55" s="42">
        <v>56</v>
      </c>
      <c r="V55" s="42">
        <v>36</v>
      </c>
      <c r="W55" s="42" t="s">
        <v>29</v>
      </c>
      <c r="X55" s="42" t="s">
        <v>29</v>
      </c>
      <c r="AA55" s="98">
        <v>5</v>
      </c>
      <c r="AB55" s="42">
        <v>200</v>
      </c>
      <c r="AC55" s="42">
        <v>140</v>
      </c>
      <c r="AD55" s="42">
        <v>90</v>
      </c>
      <c r="AE55" s="42" t="s">
        <v>29</v>
      </c>
      <c r="AF55" s="42" t="s">
        <v>29</v>
      </c>
      <c r="AI55" s="98">
        <v>5</v>
      </c>
      <c r="AJ55" s="42">
        <v>600</v>
      </c>
      <c r="AK55" s="42">
        <v>420</v>
      </c>
      <c r="AL55" s="42">
        <v>270</v>
      </c>
      <c r="AM55" s="42" t="s">
        <v>29</v>
      </c>
      <c r="AN55" s="42" t="s">
        <v>29</v>
      </c>
      <c r="AQ55" s="98">
        <v>5</v>
      </c>
      <c r="AR55" s="42">
        <v>900</v>
      </c>
      <c r="AS55" s="42">
        <v>628</v>
      </c>
      <c r="AT55" s="42">
        <v>405</v>
      </c>
      <c r="AU55" s="42" t="s">
        <v>29</v>
      </c>
      <c r="AV55" s="42" t="s">
        <v>29</v>
      </c>
      <c r="AY55" s="98">
        <v>5</v>
      </c>
      <c r="AZ55" s="42">
        <v>1200</v>
      </c>
      <c r="BA55" s="42">
        <v>840</v>
      </c>
      <c r="BB55" s="42">
        <v>540</v>
      </c>
      <c r="BC55" s="42" t="s">
        <v>29</v>
      </c>
      <c r="BD55" s="42" t="s">
        <v>29</v>
      </c>
    </row>
    <row r="56" spans="1:56" x14ac:dyDescent="0.3">
      <c r="A56" s="110"/>
      <c r="B56" s="110"/>
      <c r="C56" s="50">
        <v>6</v>
      </c>
      <c r="D56" s="42">
        <v>12</v>
      </c>
      <c r="E56" s="42">
        <v>10</v>
      </c>
      <c r="F56" s="42">
        <v>8</v>
      </c>
      <c r="G56" s="42">
        <v>3</v>
      </c>
      <c r="H56" s="42" t="s">
        <v>29</v>
      </c>
      <c r="I56" s="41"/>
      <c r="J56" s="41"/>
      <c r="K56" s="50">
        <v>6</v>
      </c>
      <c r="L56" s="42">
        <v>30</v>
      </c>
      <c r="M56" s="42">
        <v>20</v>
      </c>
      <c r="N56" s="42">
        <v>16</v>
      </c>
      <c r="O56" s="42">
        <v>9</v>
      </c>
      <c r="P56" s="42" t="s">
        <v>29</v>
      </c>
      <c r="S56" s="98">
        <v>6</v>
      </c>
      <c r="T56" s="42">
        <v>78</v>
      </c>
      <c r="U56" s="42">
        <v>55</v>
      </c>
      <c r="V56" s="42">
        <v>40</v>
      </c>
      <c r="W56" s="42">
        <v>24</v>
      </c>
      <c r="X56" s="42" t="s">
        <v>29</v>
      </c>
      <c r="AA56" s="98">
        <v>6</v>
      </c>
      <c r="AB56" s="42">
        <v>198</v>
      </c>
      <c r="AC56" s="42">
        <v>145</v>
      </c>
      <c r="AD56" s="42">
        <v>100</v>
      </c>
      <c r="AE56" s="42">
        <v>60</v>
      </c>
      <c r="AF56" s="42" t="s">
        <v>29</v>
      </c>
      <c r="AI56" s="98">
        <v>6</v>
      </c>
      <c r="AJ56" s="42">
        <v>600</v>
      </c>
      <c r="AK56" s="42">
        <v>435</v>
      </c>
      <c r="AL56" s="42">
        <v>300</v>
      </c>
      <c r="AM56" s="42">
        <v>186</v>
      </c>
      <c r="AN56" s="42" t="s">
        <v>29</v>
      </c>
      <c r="AQ56" s="98">
        <v>6</v>
      </c>
      <c r="AR56" s="42">
        <v>900</v>
      </c>
      <c r="AS56" s="42">
        <v>655</v>
      </c>
      <c r="AT56" s="42">
        <v>448</v>
      </c>
      <c r="AU56" s="42">
        <v>279</v>
      </c>
      <c r="AV56" s="42" t="s">
        <v>29</v>
      </c>
      <c r="AY56" s="98">
        <v>6</v>
      </c>
      <c r="AZ56" s="42">
        <v>1200</v>
      </c>
      <c r="BA56" s="42">
        <v>875</v>
      </c>
      <c r="BB56" s="42">
        <v>600</v>
      </c>
      <c r="BC56" s="42">
        <v>375</v>
      </c>
      <c r="BD56" s="42" t="s">
        <v>29</v>
      </c>
    </row>
    <row r="57" spans="1:56" x14ac:dyDescent="0.3">
      <c r="A57" s="110"/>
      <c r="B57" s="110"/>
      <c r="C57" s="50">
        <v>7</v>
      </c>
      <c r="D57" s="42">
        <v>14</v>
      </c>
      <c r="E57" s="42">
        <v>12</v>
      </c>
      <c r="F57" s="42">
        <v>5</v>
      </c>
      <c r="G57" s="42">
        <v>4</v>
      </c>
      <c r="H57" s="42" t="s">
        <v>29</v>
      </c>
      <c r="I57" s="41"/>
      <c r="J57" s="41"/>
      <c r="K57" s="50">
        <v>7</v>
      </c>
      <c r="L57" s="42">
        <v>28</v>
      </c>
      <c r="M57" s="42">
        <v>24</v>
      </c>
      <c r="N57" s="42">
        <v>15</v>
      </c>
      <c r="O57" s="42">
        <v>8</v>
      </c>
      <c r="P57" s="42" t="s">
        <v>29</v>
      </c>
      <c r="S57" s="98">
        <v>7</v>
      </c>
      <c r="T57" s="42">
        <v>77</v>
      </c>
      <c r="U57" s="42">
        <v>60</v>
      </c>
      <c r="V57" s="42">
        <v>40</v>
      </c>
      <c r="W57" s="42">
        <v>28</v>
      </c>
      <c r="X57" s="42" t="s">
        <v>29</v>
      </c>
      <c r="AA57" s="98">
        <v>7</v>
      </c>
      <c r="AB57" s="42">
        <v>196</v>
      </c>
      <c r="AC57" s="42">
        <v>150</v>
      </c>
      <c r="AD57" s="42">
        <v>105</v>
      </c>
      <c r="AE57" s="42">
        <v>68</v>
      </c>
      <c r="AF57" s="42" t="s">
        <v>29</v>
      </c>
      <c r="AI57" s="98">
        <v>7</v>
      </c>
      <c r="AJ57" s="42">
        <v>595</v>
      </c>
      <c r="AK57" s="42">
        <v>450</v>
      </c>
      <c r="AL57" s="42">
        <v>320</v>
      </c>
      <c r="AM57" s="42">
        <v>212</v>
      </c>
      <c r="AN57" s="42" t="s">
        <v>29</v>
      </c>
      <c r="AQ57" s="98">
        <v>7</v>
      </c>
      <c r="AR57" s="42">
        <v>896</v>
      </c>
      <c r="AS57" s="42">
        <v>672</v>
      </c>
      <c r="AT57" s="42">
        <v>480</v>
      </c>
      <c r="AU57" s="42">
        <v>320</v>
      </c>
      <c r="AV57" s="42" t="s">
        <v>29</v>
      </c>
      <c r="AY57" s="98">
        <v>7</v>
      </c>
      <c r="AZ57" s="42">
        <v>1197</v>
      </c>
      <c r="BA57" s="42">
        <v>900</v>
      </c>
      <c r="BB57" s="42">
        <v>640</v>
      </c>
      <c r="BC57" s="42">
        <v>428</v>
      </c>
      <c r="BD57" s="42" t="s">
        <v>29</v>
      </c>
    </row>
    <row r="58" spans="1:56" x14ac:dyDescent="0.3">
      <c r="A58" s="110"/>
      <c r="B58" s="110"/>
      <c r="C58" s="50">
        <v>8</v>
      </c>
      <c r="D58" s="42">
        <v>16</v>
      </c>
      <c r="E58" s="42">
        <v>7</v>
      </c>
      <c r="F58" s="42">
        <v>6</v>
      </c>
      <c r="G58" s="42">
        <v>5</v>
      </c>
      <c r="H58" s="42">
        <v>4</v>
      </c>
      <c r="I58" s="41"/>
      <c r="J58" s="41"/>
      <c r="K58" s="50">
        <v>8</v>
      </c>
      <c r="L58" s="42">
        <v>32</v>
      </c>
      <c r="M58" s="42">
        <v>21</v>
      </c>
      <c r="N58" s="42">
        <v>18</v>
      </c>
      <c r="O58" s="42">
        <v>10</v>
      </c>
      <c r="P58" s="42">
        <v>8</v>
      </c>
      <c r="S58" s="98">
        <v>8</v>
      </c>
      <c r="T58" s="42">
        <v>80</v>
      </c>
      <c r="U58" s="42">
        <v>56</v>
      </c>
      <c r="V58" s="42">
        <v>42</v>
      </c>
      <c r="W58" s="42">
        <v>30</v>
      </c>
      <c r="X58" s="42">
        <v>20</v>
      </c>
      <c r="AA58" s="98">
        <v>8</v>
      </c>
      <c r="AB58" s="42">
        <v>200</v>
      </c>
      <c r="AC58" s="42">
        <v>147</v>
      </c>
      <c r="AD58" s="42">
        <v>108</v>
      </c>
      <c r="AE58" s="42">
        <v>75</v>
      </c>
      <c r="AF58" s="42">
        <v>48</v>
      </c>
      <c r="AI58" s="98">
        <v>8</v>
      </c>
      <c r="AJ58" s="42">
        <v>600</v>
      </c>
      <c r="AK58" s="42">
        <v>455</v>
      </c>
      <c r="AL58" s="42">
        <v>330</v>
      </c>
      <c r="AM58" s="42">
        <v>230</v>
      </c>
      <c r="AN58" s="42">
        <v>148</v>
      </c>
      <c r="AQ58" s="98">
        <v>8</v>
      </c>
      <c r="AR58" s="42">
        <v>896</v>
      </c>
      <c r="AS58" s="42">
        <v>686</v>
      </c>
      <c r="AT58" s="42">
        <v>504</v>
      </c>
      <c r="AU58" s="42">
        <v>350</v>
      </c>
      <c r="AV58" s="42">
        <v>224</v>
      </c>
      <c r="AY58" s="98">
        <v>8</v>
      </c>
      <c r="AZ58" s="42">
        <v>1200</v>
      </c>
      <c r="BA58" s="42">
        <v>917</v>
      </c>
      <c r="BB58" s="42">
        <v>672</v>
      </c>
      <c r="BC58" s="42">
        <v>465</v>
      </c>
      <c r="BD58" s="42">
        <v>300</v>
      </c>
    </row>
    <row r="59" spans="1:56" x14ac:dyDescent="0.3">
      <c r="A59" s="110"/>
      <c r="B59" s="110"/>
      <c r="C59" s="50">
        <v>9</v>
      </c>
      <c r="D59" s="42">
        <v>9</v>
      </c>
      <c r="E59" s="42">
        <v>8</v>
      </c>
      <c r="F59" s="42">
        <v>7</v>
      </c>
      <c r="G59" s="42">
        <v>6</v>
      </c>
      <c r="H59" s="42">
        <v>5</v>
      </c>
      <c r="I59" s="41"/>
      <c r="J59" s="41"/>
      <c r="K59" s="50">
        <v>9</v>
      </c>
      <c r="L59" s="42">
        <v>27</v>
      </c>
      <c r="M59" s="42">
        <v>24</v>
      </c>
      <c r="N59" s="42">
        <v>14</v>
      </c>
      <c r="O59" s="42">
        <v>12</v>
      </c>
      <c r="P59" s="42">
        <v>5</v>
      </c>
      <c r="S59" s="98">
        <v>9</v>
      </c>
      <c r="T59" s="42">
        <v>72</v>
      </c>
      <c r="U59" s="42">
        <v>56</v>
      </c>
      <c r="V59" s="42">
        <v>42</v>
      </c>
      <c r="W59" s="42">
        <v>30</v>
      </c>
      <c r="X59" s="42">
        <v>20</v>
      </c>
      <c r="AA59" s="98">
        <v>9</v>
      </c>
      <c r="AB59" s="42">
        <v>198</v>
      </c>
      <c r="AC59" s="42">
        <v>152</v>
      </c>
      <c r="AD59" s="42">
        <v>112</v>
      </c>
      <c r="AE59" s="42">
        <v>78</v>
      </c>
      <c r="AF59" s="42">
        <v>55</v>
      </c>
      <c r="AI59" s="98">
        <v>9</v>
      </c>
      <c r="AJ59" s="42">
        <v>594</v>
      </c>
      <c r="AK59" s="42">
        <v>464</v>
      </c>
      <c r="AL59" s="42">
        <v>350</v>
      </c>
      <c r="AM59" s="42">
        <v>246</v>
      </c>
      <c r="AN59" s="42">
        <v>165</v>
      </c>
      <c r="AQ59" s="98">
        <v>9</v>
      </c>
      <c r="AR59" s="42">
        <v>900</v>
      </c>
      <c r="AS59" s="42">
        <v>696</v>
      </c>
      <c r="AT59" s="42">
        <v>525</v>
      </c>
      <c r="AU59" s="42">
        <v>372</v>
      </c>
      <c r="AV59" s="42">
        <v>250</v>
      </c>
      <c r="AY59" s="98">
        <v>9</v>
      </c>
      <c r="AZ59" s="42">
        <v>1197</v>
      </c>
      <c r="BA59" s="42">
        <v>928</v>
      </c>
      <c r="BB59" s="42">
        <v>700</v>
      </c>
      <c r="BC59" s="42">
        <v>498</v>
      </c>
      <c r="BD59" s="42">
        <v>330</v>
      </c>
    </row>
    <row r="61" spans="1:56" ht="15" x14ac:dyDescent="0.25">
      <c r="D61" s="109" t="s">
        <v>31</v>
      </c>
      <c r="E61" s="109"/>
      <c r="F61" s="109"/>
      <c r="G61" s="109"/>
      <c r="H61" s="109"/>
      <c r="L61" s="109" t="s">
        <v>30</v>
      </c>
      <c r="M61" s="109"/>
      <c r="N61" s="109"/>
      <c r="O61" s="109"/>
      <c r="P61" s="109"/>
      <c r="T61" s="109" t="s">
        <v>32</v>
      </c>
      <c r="U61" s="109"/>
      <c r="V61" s="109"/>
      <c r="W61" s="109"/>
      <c r="X61" s="109"/>
      <c r="AB61" s="109" t="s">
        <v>33</v>
      </c>
      <c r="AC61" s="109"/>
      <c r="AD61" s="109"/>
      <c r="AE61" s="109"/>
      <c r="AF61" s="109"/>
      <c r="AJ61" s="109" t="s">
        <v>34</v>
      </c>
      <c r="AK61" s="109"/>
      <c r="AL61" s="109"/>
      <c r="AM61" s="109"/>
      <c r="AN61" s="109"/>
      <c r="AR61" s="109" t="s">
        <v>35</v>
      </c>
      <c r="AS61" s="109"/>
      <c r="AT61" s="109"/>
      <c r="AU61" s="109"/>
      <c r="AV61" s="109"/>
      <c r="AZ61" s="109" t="s">
        <v>36</v>
      </c>
      <c r="BA61" s="109"/>
      <c r="BB61" s="109"/>
      <c r="BC61" s="109"/>
      <c r="BD61" s="109"/>
    </row>
    <row r="62" spans="1:56" ht="15" x14ac:dyDescent="0.25">
      <c r="C62" s="47"/>
      <c r="D62" s="68">
        <v>0</v>
      </c>
      <c r="E62" s="68">
        <v>1</v>
      </c>
      <c r="F62" s="68">
        <v>2</v>
      </c>
      <c r="G62" s="68">
        <v>3</v>
      </c>
      <c r="H62" s="68">
        <v>4</v>
      </c>
      <c r="K62" s="47"/>
      <c r="L62" s="68">
        <v>0</v>
      </c>
      <c r="M62" s="68">
        <v>1</v>
      </c>
      <c r="N62" s="68">
        <v>2</v>
      </c>
      <c r="O62" s="68">
        <v>3</v>
      </c>
      <c r="P62" s="68">
        <v>4</v>
      </c>
      <c r="S62" s="47"/>
      <c r="T62" s="98">
        <v>0</v>
      </c>
      <c r="U62" s="98">
        <v>1</v>
      </c>
      <c r="V62" s="98">
        <v>2</v>
      </c>
      <c r="W62" s="98">
        <v>3</v>
      </c>
      <c r="X62" s="98">
        <v>4</v>
      </c>
      <c r="AA62" s="47"/>
      <c r="AB62" s="98">
        <v>0</v>
      </c>
      <c r="AC62" s="98">
        <v>1</v>
      </c>
      <c r="AD62" s="98">
        <v>2</v>
      </c>
      <c r="AE62" s="98">
        <v>3</v>
      </c>
      <c r="AF62" s="98">
        <v>4</v>
      </c>
      <c r="AI62" s="47"/>
      <c r="AJ62" s="98">
        <v>0</v>
      </c>
      <c r="AK62" s="98">
        <v>1</v>
      </c>
      <c r="AL62" s="98">
        <v>2</v>
      </c>
      <c r="AM62" s="98">
        <v>3</v>
      </c>
      <c r="AN62" s="98">
        <v>4</v>
      </c>
      <c r="AQ62" s="47"/>
      <c r="AR62" s="98">
        <v>0</v>
      </c>
      <c r="AS62" s="98">
        <v>1</v>
      </c>
      <c r="AT62" s="98">
        <v>2</v>
      </c>
      <c r="AU62" s="98">
        <v>3</v>
      </c>
      <c r="AV62" s="98">
        <v>4</v>
      </c>
      <c r="AY62" s="47"/>
      <c r="AZ62" s="98">
        <v>0</v>
      </c>
      <c r="BA62" s="98">
        <v>1</v>
      </c>
      <c r="BB62" s="98">
        <v>2</v>
      </c>
      <c r="BC62" s="98">
        <v>3</v>
      </c>
      <c r="BD62" s="98">
        <v>4</v>
      </c>
    </row>
    <row r="63" spans="1:56" x14ac:dyDescent="0.3">
      <c r="A63" s="110">
        <v>6</v>
      </c>
      <c r="B63" s="110"/>
      <c r="C63" s="68">
        <v>1</v>
      </c>
      <c r="D63" s="42">
        <v>20</v>
      </c>
      <c r="E63" s="42" t="s">
        <v>29</v>
      </c>
      <c r="F63" s="42" t="s">
        <v>29</v>
      </c>
      <c r="G63" s="42" t="s">
        <v>29</v>
      </c>
      <c r="H63" s="42" t="s">
        <v>29</v>
      </c>
      <c r="K63" s="68">
        <v>1</v>
      </c>
      <c r="L63" s="42">
        <v>40</v>
      </c>
      <c r="M63" s="42" t="s">
        <v>29</v>
      </c>
      <c r="N63" s="42" t="s">
        <v>29</v>
      </c>
      <c r="O63" s="42" t="s">
        <v>29</v>
      </c>
      <c r="P63" s="42" t="s">
        <v>29</v>
      </c>
      <c r="S63" s="98">
        <v>1</v>
      </c>
      <c r="T63" s="42">
        <v>100</v>
      </c>
      <c r="U63" s="42" t="s">
        <v>29</v>
      </c>
      <c r="V63" s="42" t="s">
        <v>29</v>
      </c>
      <c r="W63" s="42" t="s">
        <v>29</v>
      </c>
      <c r="X63" s="42" t="s">
        <v>29</v>
      </c>
      <c r="AA63" s="98">
        <v>1</v>
      </c>
      <c r="AB63" s="42">
        <v>300</v>
      </c>
      <c r="AC63" s="42" t="s">
        <v>29</v>
      </c>
      <c r="AD63" s="42" t="s">
        <v>29</v>
      </c>
      <c r="AE63" s="42" t="s">
        <v>29</v>
      </c>
      <c r="AF63" s="42" t="s">
        <v>29</v>
      </c>
      <c r="AI63" s="98">
        <v>1</v>
      </c>
      <c r="AJ63" s="42">
        <v>900</v>
      </c>
      <c r="AK63" s="42" t="s">
        <v>29</v>
      </c>
      <c r="AL63" s="42" t="s">
        <v>29</v>
      </c>
      <c r="AM63" s="42" t="s">
        <v>29</v>
      </c>
      <c r="AN63" s="42" t="s">
        <v>29</v>
      </c>
      <c r="AQ63" s="98">
        <v>1</v>
      </c>
      <c r="AR63" s="42">
        <v>1250</v>
      </c>
      <c r="AS63" s="42" t="s">
        <v>29</v>
      </c>
      <c r="AT63" s="42" t="s">
        <v>29</v>
      </c>
      <c r="AU63" s="42" t="s">
        <v>29</v>
      </c>
      <c r="AV63" s="42" t="s">
        <v>29</v>
      </c>
      <c r="AY63" s="98">
        <v>1</v>
      </c>
      <c r="AZ63" s="42">
        <v>1500</v>
      </c>
      <c r="BA63" s="42" t="s">
        <v>29</v>
      </c>
      <c r="BB63" s="42" t="s">
        <v>29</v>
      </c>
      <c r="BC63" s="42" t="s">
        <v>29</v>
      </c>
      <c r="BD63" s="42" t="s">
        <v>29</v>
      </c>
    </row>
    <row r="64" spans="1:56" x14ac:dyDescent="0.3">
      <c r="A64" s="110"/>
      <c r="B64" s="110"/>
      <c r="C64" s="68">
        <v>2</v>
      </c>
      <c r="D64" s="42">
        <v>20</v>
      </c>
      <c r="E64" s="42">
        <v>8</v>
      </c>
      <c r="F64" s="42" t="s">
        <v>29</v>
      </c>
      <c r="G64" s="42" t="s">
        <v>29</v>
      </c>
      <c r="H64" s="42" t="s">
        <v>29</v>
      </c>
      <c r="I64" s="4"/>
      <c r="J64" s="4"/>
      <c r="K64" s="68">
        <v>2</v>
      </c>
      <c r="L64" s="42">
        <v>40</v>
      </c>
      <c r="M64" s="42">
        <v>17</v>
      </c>
      <c r="N64" s="42" t="s">
        <v>29</v>
      </c>
      <c r="O64" s="42" t="s">
        <v>29</v>
      </c>
      <c r="P64" s="42" t="s">
        <v>29</v>
      </c>
      <c r="S64" s="98">
        <v>2</v>
      </c>
      <c r="T64" s="42">
        <v>100</v>
      </c>
      <c r="U64" s="42">
        <v>43</v>
      </c>
      <c r="V64" s="42" t="s">
        <v>29</v>
      </c>
      <c r="W64" s="42" t="s">
        <v>29</v>
      </c>
      <c r="X64" s="42" t="s">
        <v>29</v>
      </c>
      <c r="AA64" s="98">
        <v>2</v>
      </c>
      <c r="AB64" s="42">
        <v>300</v>
      </c>
      <c r="AC64" s="42">
        <v>131</v>
      </c>
      <c r="AD64" s="42" t="s">
        <v>29</v>
      </c>
      <c r="AE64" s="42" t="s">
        <v>29</v>
      </c>
      <c r="AF64" s="42" t="s">
        <v>29</v>
      </c>
      <c r="AI64" s="98">
        <v>2</v>
      </c>
      <c r="AJ64" s="42">
        <v>900</v>
      </c>
      <c r="AK64" s="42">
        <v>393</v>
      </c>
      <c r="AL64" s="42" t="s">
        <v>29</v>
      </c>
      <c r="AM64" s="42" t="s">
        <v>29</v>
      </c>
      <c r="AN64" s="42" t="s">
        <v>29</v>
      </c>
      <c r="AQ64" s="98">
        <v>2</v>
      </c>
      <c r="AR64" s="42">
        <v>1250</v>
      </c>
      <c r="AS64" s="42">
        <v>546</v>
      </c>
      <c r="AT64" s="42" t="s">
        <v>29</v>
      </c>
      <c r="AU64" s="42" t="s">
        <v>29</v>
      </c>
      <c r="AV64" s="42" t="s">
        <v>29</v>
      </c>
      <c r="AY64" s="98">
        <v>2</v>
      </c>
      <c r="AZ64" s="42">
        <v>1500</v>
      </c>
      <c r="BA64" s="42">
        <v>656</v>
      </c>
      <c r="BB64" s="42" t="s">
        <v>29</v>
      </c>
      <c r="BC64" s="42" t="s">
        <v>29</v>
      </c>
      <c r="BD64" s="42" t="s">
        <v>29</v>
      </c>
    </row>
    <row r="65" spans="1:56" x14ac:dyDescent="0.3">
      <c r="A65" s="110"/>
      <c r="B65" s="110"/>
      <c r="C65" s="68">
        <v>3</v>
      </c>
      <c r="D65" s="42">
        <v>18</v>
      </c>
      <c r="E65" s="42">
        <v>10</v>
      </c>
      <c r="F65" s="42" t="s">
        <v>29</v>
      </c>
      <c r="G65" s="42" t="s">
        <v>29</v>
      </c>
      <c r="H65" s="42" t="s">
        <v>29</v>
      </c>
      <c r="I65" s="4"/>
      <c r="J65" s="4"/>
      <c r="K65" s="68">
        <v>3</v>
      </c>
      <c r="L65" s="42">
        <v>39</v>
      </c>
      <c r="M65" s="42">
        <v>22</v>
      </c>
      <c r="N65" s="42" t="s">
        <v>29</v>
      </c>
      <c r="O65" s="42" t="s">
        <v>29</v>
      </c>
      <c r="P65" s="42" t="s">
        <v>29</v>
      </c>
      <c r="S65" s="98">
        <v>3</v>
      </c>
      <c r="T65" s="42">
        <v>99</v>
      </c>
      <c r="U65" s="42">
        <v>58</v>
      </c>
      <c r="V65" s="42" t="s">
        <v>29</v>
      </c>
      <c r="W65" s="42" t="s">
        <v>29</v>
      </c>
      <c r="X65" s="42" t="s">
        <v>29</v>
      </c>
      <c r="AA65" s="98">
        <v>3</v>
      </c>
      <c r="AB65" s="42">
        <v>300</v>
      </c>
      <c r="AC65" s="42">
        <v>174</v>
      </c>
      <c r="AD65" s="42" t="s">
        <v>29</v>
      </c>
      <c r="AE65" s="42" t="s">
        <v>29</v>
      </c>
      <c r="AF65" s="42" t="s">
        <v>29</v>
      </c>
      <c r="AI65" s="98">
        <v>3</v>
      </c>
      <c r="AJ65" s="42">
        <v>900</v>
      </c>
      <c r="AK65" s="42">
        <v>524</v>
      </c>
      <c r="AL65" s="42" t="s">
        <v>29</v>
      </c>
      <c r="AM65" s="42" t="s">
        <v>29</v>
      </c>
      <c r="AN65" s="42" t="s">
        <v>29</v>
      </c>
      <c r="AQ65" s="98">
        <v>3</v>
      </c>
      <c r="AR65" s="42">
        <v>1248</v>
      </c>
      <c r="AS65" s="42">
        <v>728</v>
      </c>
      <c r="AT65" s="42" t="s">
        <v>29</v>
      </c>
      <c r="AU65" s="42" t="s">
        <v>29</v>
      </c>
      <c r="AV65" s="42" t="s">
        <v>29</v>
      </c>
      <c r="AY65" s="98">
        <v>3</v>
      </c>
      <c r="AZ65" s="42">
        <v>1500</v>
      </c>
      <c r="BA65" s="42">
        <v>874</v>
      </c>
      <c r="BB65" s="42" t="s">
        <v>29</v>
      </c>
      <c r="BC65" s="42" t="s">
        <v>29</v>
      </c>
      <c r="BD65" s="42" t="s">
        <v>29</v>
      </c>
    </row>
    <row r="66" spans="1:56" x14ac:dyDescent="0.3">
      <c r="A66" s="110"/>
      <c r="B66" s="110"/>
      <c r="C66" s="68">
        <v>4</v>
      </c>
      <c r="D66" s="42">
        <v>20</v>
      </c>
      <c r="E66" s="42">
        <v>12</v>
      </c>
      <c r="F66" s="42">
        <v>6</v>
      </c>
      <c r="G66" s="42" t="s">
        <v>29</v>
      </c>
      <c r="H66" s="42" t="s">
        <v>29</v>
      </c>
      <c r="I66" s="41"/>
      <c r="J66" s="41"/>
      <c r="K66" s="68">
        <v>4</v>
      </c>
      <c r="L66" s="42">
        <v>40</v>
      </c>
      <c r="M66" s="42">
        <v>24</v>
      </c>
      <c r="N66" s="42">
        <v>14</v>
      </c>
      <c r="O66" s="42" t="s">
        <v>29</v>
      </c>
      <c r="P66" s="42" t="s">
        <v>29</v>
      </c>
      <c r="S66" s="98">
        <v>4</v>
      </c>
      <c r="T66" s="42">
        <v>100</v>
      </c>
      <c r="U66" s="42">
        <v>63</v>
      </c>
      <c r="V66" s="42">
        <v>36</v>
      </c>
      <c r="W66" s="42" t="s">
        <v>29</v>
      </c>
      <c r="X66" s="42" t="s">
        <v>29</v>
      </c>
      <c r="AA66" s="98">
        <v>4</v>
      </c>
      <c r="AB66" s="42">
        <v>300</v>
      </c>
      <c r="AC66" s="42">
        <v>195</v>
      </c>
      <c r="AD66" s="42">
        <v>112</v>
      </c>
      <c r="AE66" s="42" t="s">
        <v>29</v>
      </c>
      <c r="AF66" s="42" t="s">
        <v>29</v>
      </c>
      <c r="AI66" s="98">
        <v>4</v>
      </c>
      <c r="AJ66" s="42">
        <v>900</v>
      </c>
      <c r="AK66" s="42">
        <v>588</v>
      </c>
      <c r="AL66" s="42">
        <v>336</v>
      </c>
      <c r="AM66" s="42" t="s">
        <v>29</v>
      </c>
      <c r="AN66" s="42" t="s">
        <v>29</v>
      </c>
      <c r="AQ66" s="98">
        <v>4</v>
      </c>
      <c r="AR66" s="42">
        <v>1248</v>
      </c>
      <c r="AS66" s="42">
        <v>819</v>
      </c>
      <c r="AT66" s="42">
        <v>468</v>
      </c>
      <c r="AU66" s="42" t="s">
        <v>29</v>
      </c>
      <c r="AV66" s="42" t="s">
        <v>29</v>
      </c>
      <c r="AY66" s="98">
        <v>4</v>
      </c>
      <c r="AZ66" s="42">
        <v>1500</v>
      </c>
      <c r="BA66" s="42">
        <v>984</v>
      </c>
      <c r="BB66" s="42">
        <v>562</v>
      </c>
      <c r="BC66" s="42" t="s">
        <v>29</v>
      </c>
      <c r="BD66" s="42" t="s">
        <v>29</v>
      </c>
    </row>
    <row r="67" spans="1:56" x14ac:dyDescent="0.3">
      <c r="A67" s="110"/>
      <c r="B67" s="110"/>
      <c r="C67" s="68">
        <v>5</v>
      </c>
      <c r="D67" s="42">
        <v>20</v>
      </c>
      <c r="E67" s="42">
        <v>12</v>
      </c>
      <c r="F67" s="42">
        <v>9</v>
      </c>
      <c r="G67" s="42" t="s">
        <v>29</v>
      </c>
      <c r="H67" s="42" t="s">
        <v>29</v>
      </c>
      <c r="I67" s="41"/>
      <c r="J67" s="41"/>
      <c r="K67" s="68">
        <v>5</v>
      </c>
      <c r="L67" s="42">
        <v>40</v>
      </c>
      <c r="M67" s="42">
        <v>28</v>
      </c>
      <c r="N67" s="42">
        <v>18</v>
      </c>
      <c r="O67" s="42" t="s">
        <v>29</v>
      </c>
      <c r="P67" s="42" t="s">
        <v>29</v>
      </c>
      <c r="S67" s="98">
        <v>5</v>
      </c>
      <c r="T67" s="42">
        <v>100</v>
      </c>
      <c r="U67" s="42">
        <v>68</v>
      </c>
      <c r="V67" s="42">
        <v>45</v>
      </c>
      <c r="W67" s="42" t="s">
        <v>29</v>
      </c>
      <c r="X67" s="42" t="s">
        <v>29</v>
      </c>
      <c r="AA67" s="98">
        <v>5</v>
      </c>
      <c r="AB67" s="42">
        <v>300</v>
      </c>
      <c r="AC67" s="42">
        <v>208</v>
      </c>
      <c r="AD67" s="42">
        <v>135</v>
      </c>
      <c r="AE67" s="42" t="s">
        <v>29</v>
      </c>
      <c r="AF67" s="42" t="s">
        <v>29</v>
      </c>
      <c r="AI67" s="98">
        <v>5</v>
      </c>
      <c r="AJ67" s="42">
        <v>900</v>
      </c>
      <c r="AK67" s="42">
        <v>628</v>
      </c>
      <c r="AL67" s="42">
        <v>405</v>
      </c>
      <c r="AM67" s="42" t="s">
        <v>29</v>
      </c>
      <c r="AN67" s="42" t="s">
        <v>29</v>
      </c>
      <c r="AQ67" s="98">
        <v>5</v>
      </c>
      <c r="AR67" s="42">
        <v>1250</v>
      </c>
      <c r="AS67" s="42">
        <v>872</v>
      </c>
      <c r="AT67" s="42">
        <v>561</v>
      </c>
      <c r="AU67" s="42" t="s">
        <v>29</v>
      </c>
      <c r="AV67" s="42" t="s">
        <v>29</v>
      </c>
      <c r="AY67" s="98">
        <v>5</v>
      </c>
      <c r="AZ67" s="42">
        <v>1500</v>
      </c>
      <c r="BA67" s="42">
        <v>1048</v>
      </c>
      <c r="BB67" s="42">
        <v>675</v>
      </c>
      <c r="BC67" s="42" t="s">
        <v>29</v>
      </c>
      <c r="BD67" s="42" t="s">
        <v>29</v>
      </c>
    </row>
    <row r="68" spans="1:56" x14ac:dyDescent="0.3">
      <c r="A68" s="110"/>
      <c r="B68" s="110"/>
      <c r="C68" s="68">
        <v>6</v>
      </c>
      <c r="D68" s="42">
        <v>18</v>
      </c>
      <c r="E68" s="42">
        <v>10</v>
      </c>
      <c r="F68" s="42">
        <v>8</v>
      </c>
      <c r="G68" s="42">
        <v>6</v>
      </c>
      <c r="H68" s="42" t="s">
        <v>29</v>
      </c>
      <c r="I68" s="41"/>
      <c r="J68" s="41"/>
      <c r="K68" s="68">
        <v>6</v>
      </c>
      <c r="L68" s="42">
        <v>36</v>
      </c>
      <c r="M68" s="42">
        <v>25</v>
      </c>
      <c r="N68" s="42">
        <v>20</v>
      </c>
      <c r="O68" s="42">
        <v>12</v>
      </c>
      <c r="P68" s="42" t="s">
        <v>29</v>
      </c>
      <c r="S68" s="98">
        <v>6</v>
      </c>
      <c r="T68" s="42">
        <v>96</v>
      </c>
      <c r="U68" s="42">
        <v>70</v>
      </c>
      <c r="V68" s="42">
        <v>48</v>
      </c>
      <c r="W68" s="42">
        <v>30</v>
      </c>
      <c r="X68" s="42" t="s">
        <v>29</v>
      </c>
      <c r="AA68" s="98">
        <v>6</v>
      </c>
      <c r="AB68" s="42">
        <v>300</v>
      </c>
      <c r="AC68" s="42">
        <v>215</v>
      </c>
      <c r="AD68" s="42">
        <v>148</v>
      </c>
      <c r="AE68" s="42">
        <v>93</v>
      </c>
      <c r="AF68" s="42" t="s">
        <v>29</v>
      </c>
      <c r="AI68" s="98">
        <v>6</v>
      </c>
      <c r="AJ68" s="42">
        <v>900</v>
      </c>
      <c r="AK68" s="42">
        <v>655</v>
      </c>
      <c r="AL68" s="42">
        <v>448</v>
      </c>
      <c r="AM68" s="42">
        <v>279</v>
      </c>
      <c r="AN68" s="42" t="s">
        <v>29</v>
      </c>
      <c r="AQ68" s="98">
        <v>6</v>
      </c>
      <c r="AR68" s="42">
        <v>1248</v>
      </c>
      <c r="AS68" s="42">
        <v>910</v>
      </c>
      <c r="AT68" s="42">
        <v>624</v>
      </c>
      <c r="AU68" s="42">
        <v>390</v>
      </c>
      <c r="AV68" s="42" t="s">
        <v>29</v>
      </c>
      <c r="AY68" s="98">
        <v>6</v>
      </c>
      <c r="AZ68" s="42">
        <v>1500</v>
      </c>
      <c r="BA68" s="42">
        <v>1090</v>
      </c>
      <c r="BB68" s="42">
        <v>748</v>
      </c>
      <c r="BC68" s="42">
        <v>468</v>
      </c>
      <c r="BD68" s="42" t="s">
        <v>29</v>
      </c>
    </row>
    <row r="69" spans="1:56" x14ac:dyDescent="0.3">
      <c r="A69" s="110"/>
      <c r="B69" s="110"/>
      <c r="C69" s="68">
        <v>7</v>
      </c>
      <c r="D69" s="42">
        <v>14</v>
      </c>
      <c r="E69" s="42">
        <v>12</v>
      </c>
      <c r="F69" s="42">
        <v>10</v>
      </c>
      <c r="G69" s="42">
        <v>4</v>
      </c>
      <c r="H69" s="42" t="s">
        <v>29</v>
      </c>
      <c r="I69" s="41"/>
      <c r="J69" s="41"/>
      <c r="K69" s="68">
        <v>7</v>
      </c>
      <c r="L69" s="42">
        <v>35</v>
      </c>
      <c r="M69" s="42">
        <v>30</v>
      </c>
      <c r="N69" s="42">
        <v>20</v>
      </c>
      <c r="O69" s="42">
        <v>12</v>
      </c>
      <c r="P69" s="42" t="s">
        <v>29</v>
      </c>
      <c r="S69" s="98">
        <v>7</v>
      </c>
      <c r="T69" s="42">
        <v>98</v>
      </c>
      <c r="U69" s="42">
        <v>72</v>
      </c>
      <c r="V69" s="42">
        <v>50</v>
      </c>
      <c r="W69" s="42">
        <v>32</v>
      </c>
      <c r="X69" s="42" t="s">
        <v>29</v>
      </c>
      <c r="AA69" s="98">
        <v>7</v>
      </c>
      <c r="AB69" s="42">
        <v>294</v>
      </c>
      <c r="AC69" s="42">
        <v>222</v>
      </c>
      <c r="AD69" s="42">
        <v>160</v>
      </c>
      <c r="AE69" s="42">
        <v>104</v>
      </c>
      <c r="AF69" s="42" t="s">
        <v>29</v>
      </c>
      <c r="AI69" s="98">
        <v>7</v>
      </c>
      <c r="AJ69" s="42">
        <v>896</v>
      </c>
      <c r="AK69" s="42">
        <v>672</v>
      </c>
      <c r="AL69" s="42">
        <v>480</v>
      </c>
      <c r="AM69" s="42">
        <v>320</v>
      </c>
      <c r="AN69" s="42" t="s">
        <v>29</v>
      </c>
      <c r="AQ69" s="98">
        <v>7</v>
      </c>
      <c r="AR69" s="42">
        <v>1246</v>
      </c>
      <c r="AS69" s="42">
        <v>936</v>
      </c>
      <c r="AT69" s="42">
        <v>665</v>
      </c>
      <c r="AU69" s="42">
        <v>444</v>
      </c>
      <c r="AV69" s="42" t="s">
        <v>29</v>
      </c>
      <c r="AY69" s="98">
        <v>7</v>
      </c>
      <c r="AZ69" s="42">
        <v>1498</v>
      </c>
      <c r="BA69" s="42">
        <v>1122</v>
      </c>
      <c r="BB69" s="42">
        <v>800</v>
      </c>
      <c r="BC69" s="42">
        <v>532</v>
      </c>
      <c r="BD69" s="42" t="s">
        <v>29</v>
      </c>
    </row>
    <row r="70" spans="1:56" x14ac:dyDescent="0.3">
      <c r="A70" s="110"/>
      <c r="B70" s="110"/>
      <c r="C70" s="68">
        <v>8</v>
      </c>
      <c r="D70" s="42">
        <v>16</v>
      </c>
      <c r="E70" s="42">
        <v>14</v>
      </c>
      <c r="F70" s="42">
        <v>6</v>
      </c>
      <c r="G70" s="42">
        <v>5</v>
      </c>
      <c r="H70" s="42">
        <v>4</v>
      </c>
      <c r="I70" s="41"/>
      <c r="J70" s="41"/>
      <c r="K70" s="68">
        <v>8</v>
      </c>
      <c r="L70" s="42">
        <v>40</v>
      </c>
      <c r="M70" s="42">
        <v>28</v>
      </c>
      <c r="N70" s="42">
        <v>18</v>
      </c>
      <c r="O70" s="42">
        <v>15</v>
      </c>
      <c r="P70" s="42">
        <v>8</v>
      </c>
      <c r="S70" s="98">
        <v>8</v>
      </c>
      <c r="T70" s="42">
        <v>96</v>
      </c>
      <c r="U70" s="42">
        <v>70</v>
      </c>
      <c r="V70" s="42">
        <v>54</v>
      </c>
      <c r="W70" s="42">
        <v>35</v>
      </c>
      <c r="X70" s="42">
        <v>24</v>
      </c>
      <c r="AA70" s="98">
        <v>8</v>
      </c>
      <c r="AB70" s="42">
        <v>296</v>
      </c>
      <c r="AC70" s="42">
        <v>224</v>
      </c>
      <c r="AD70" s="42">
        <v>168</v>
      </c>
      <c r="AE70" s="42">
        <v>115</v>
      </c>
      <c r="AF70" s="42">
        <v>72</v>
      </c>
      <c r="AI70" s="98">
        <v>8</v>
      </c>
      <c r="AJ70" s="42">
        <v>896</v>
      </c>
      <c r="AK70" s="42">
        <v>686</v>
      </c>
      <c r="AL70" s="42">
        <v>504</v>
      </c>
      <c r="AM70" s="42">
        <v>350</v>
      </c>
      <c r="AN70" s="42">
        <v>224</v>
      </c>
      <c r="AQ70" s="98">
        <v>8</v>
      </c>
      <c r="AR70" s="42">
        <v>1248</v>
      </c>
      <c r="AS70" s="42">
        <v>952</v>
      </c>
      <c r="AT70" s="42">
        <v>702</v>
      </c>
      <c r="AU70" s="42">
        <v>485</v>
      </c>
      <c r="AV70" s="42">
        <v>312</v>
      </c>
      <c r="AY70" s="98">
        <v>8</v>
      </c>
      <c r="AZ70" s="42">
        <v>1496</v>
      </c>
      <c r="BA70" s="42">
        <v>1148</v>
      </c>
      <c r="BB70" s="42">
        <v>840</v>
      </c>
      <c r="BC70" s="42">
        <v>585</v>
      </c>
      <c r="BD70" s="42">
        <v>372</v>
      </c>
    </row>
    <row r="71" spans="1:56" x14ac:dyDescent="0.3">
      <c r="A71" s="110"/>
      <c r="B71" s="110"/>
      <c r="C71" s="68">
        <v>9</v>
      </c>
      <c r="D71" s="42">
        <v>18</v>
      </c>
      <c r="E71" s="42">
        <v>8</v>
      </c>
      <c r="F71" s="42">
        <v>7</v>
      </c>
      <c r="G71" s="42">
        <v>6</v>
      </c>
      <c r="H71" s="42">
        <v>5</v>
      </c>
      <c r="I71" s="41"/>
      <c r="J71" s="41"/>
      <c r="K71" s="68">
        <v>9</v>
      </c>
      <c r="L71" s="42">
        <v>36</v>
      </c>
      <c r="M71" s="42">
        <v>24</v>
      </c>
      <c r="N71" s="42">
        <v>21</v>
      </c>
      <c r="O71" s="42">
        <v>12</v>
      </c>
      <c r="P71" s="42">
        <v>10</v>
      </c>
      <c r="S71" s="98">
        <v>9</v>
      </c>
      <c r="T71" s="42">
        <v>99</v>
      </c>
      <c r="U71" s="42">
        <v>72</v>
      </c>
      <c r="V71" s="42">
        <v>56</v>
      </c>
      <c r="W71" s="42">
        <v>36</v>
      </c>
      <c r="X71" s="42">
        <v>25</v>
      </c>
      <c r="AA71" s="98">
        <v>9</v>
      </c>
      <c r="AB71" s="42">
        <v>297</v>
      </c>
      <c r="AC71" s="42">
        <v>232</v>
      </c>
      <c r="AD71" s="42">
        <v>175</v>
      </c>
      <c r="AE71" s="42">
        <v>120</v>
      </c>
      <c r="AF71" s="42">
        <v>80</v>
      </c>
      <c r="AI71" s="98">
        <v>9</v>
      </c>
      <c r="AJ71" s="42">
        <v>900</v>
      </c>
      <c r="AK71" s="42">
        <v>696</v>
      </c>
      <c r="AL71" s="42">
        <v>525</v>
      </c>
      <c r="AM71" s="42">
        <v>372</v>
      </c>
      <c r="AN71" s="42">
        <v>250</v>
      </c>
      <c r="AQ71" s="98">
        <v>9</v>
      </c>
      <c r="AR71" s="42">
        <v>1242</v>
      </c>
      <c r="AS71" s="42">
        <v>968</v>
      </c>
      <c r="AT71" s="42">
        <v>728</v>
      </c>
      <c r="AU71" s="42">
        <v>516</v>
      </c>
      <c r="AV71" s="42">
        <v>345</v>
      </c>
      <c r="AY71" s="98">
        <v>9</v>
      </c>
      <c r="AZ71" s="42">
        <v>1494</v>
      </c>
      <c r="BA71" s="42">
        <v>1160</v>
      </c>
      <c r="BB71" s="42">
        <v>875</v>
      </c>
      <c r="BC71" s="42">
        <v>624</v>
      </c>
      <c r="BD71" s="42">
        <v>415</v>
      </c>
    </row>
    <row r="73" spans="1:56" ht="15" x14ac:dyDescent="0.25">
      <c r="D73" s="109" t="s">
        <v>31</v>
      </c>
      <c r="E73" s="109"/>
      <c r="F73" s="109"/>
      <c r="G73" s="109"/>
      <c r="H73" s="109"/>
      <c r="L73" s="109" t="s">
        <v>30</v>
      </c>
      <c r="M73" s="109"/>
      <c r="N73" s="109"/>
      <c r="O73" s="109"/>
      <c r="P73" s="109"/>
      <c r="T73" s="109" t="s">
        <v>32</v>
      </c>
      <c r="U73" s="109"/>
      <c r="V73" s="109"/>
      <c r="W73" s="109"/>
      <c r="X73" s="109"/>
      <c r="AB73" s="109" t="s">
        <v>33</v>
      </c>
      <c r="AC73" s="109"/>
      <c r="AD73" s="109"/>
      <c r="AE73" s="109"/>
      <c r="AF73" s="109"/>
      <c r="AJ73" s="109" t="s">
        <v>34</v>
      </c>
      <c r="AK73" s="109"/>
      <c r="AL73" s="109"/>
      <c r="AM73" s="109"/>
      <c r="AN73" s="109"/>
      <c r="AR73" s="109" t="s">
        <v>35</v>
      </c>
      <c r="AS73" s="109"/>
      <c r="AT73" s="109"/>
      <c r="AU73" s="109"/>
      <c r="AV73" s="109"/>
      <c r="AZ73" s="109" t="s">
        <v>36</v>
      </c>
      <c r="BA73" s="109"/>
      <c r="BB73" s="109"/>
      <c r="BC73" s="109"/>
      <c r="BD73" s="109"/>
    </row>
    <row r="74" spans="1:56" ht="15" x14ac:dyDescent="0.25">
      <c r="C74" s="47"/>
      <c r="D74" s="68">
        <v>0</v>
      </c>
      <c r="E74" s="68">
        <v>1</v>
      </c>
      <c r="F74" s="68">
        <v>2</v>
      </c>
      <c r="G74" s="68">
        <v>3</v>
      </c>
      <c r="H74" s="68">
        <v>4</v>
      </c>
      <c r="K74" s="47"/>
      <c r="L74" s="68">
        <v>0</v>
      </c>
      <c r="M74" s="68">
        <v>1</v>
      </c>
      <c r="N74" s="68">
        <v>2</v>
      </c>
      <c r="O74" s="68">
        <v>3</v>
      </c>
      <c r="P74" s="68">
        <v>4</v>
      </c>
      <c r="S74" s="47"/>
      <c r="T74" s="98">
        <v>0</v>
      </c>
      <c r="U74" s="98">
        <v>1</v>
      </c>
      <c r="V74" s="98">
        <v>2</v>
      </c>
      <c r="W74" s="98">
        <v>3</v>
      </c>
      <c r="X74" s="98">
        <v>4</v>
      </c>
      <c r="AA74" s="47"/>
      <c r="AB74" s="98">
        <v>0</v>
      </c>
      <c r="AC74" s="98">
        <v>1</v>
      </c>
      <c r="AD74" s="98">
        <v>2</v>
      </c>
      <c r="AE74" s="98">
        <v>3</v>
      </c>
      <c r="AF74" s="98">
        <v>4</v>
      </c>
      <c r="AI74" s="47"/>
      <c r="AJ74" s="98">
        <v>0</v>
      </c>
      <c r="AK74" s="98">
        <v>1</v>
      </c>
      <c r="AL74" s="98">
        <v>2</v>
      </c>
      <c r="AM74" s="98">
        <v>3</v>
      </c>
      <c r="AN74" s="98">
        <v>4</v>
      </c>
      <c r="AQ74" s="47"/>
      <c r="AR74" s="98">
        <v>0</v>
      </c>
      <c r="AS74" s="98">
        <v>1</v>
      </c>
      <c r="AT74" s="98">
        <v>2</v>
      </c>
      <c r="AU74" s="98">
        <v>3</v>
      </c>
      <c r="AV74" s="98">
        <v>4</v>
      </c>
      <c r="AY74" s="47"/>
      <c r="AZ74" s="98">
        <v>0</v>
      </c>
      <c r="BA74" s="98">
        <v>1</v>
      </c>
      <c r="BB74" s="98">
        <v>2</v>
      </c>
      <c r="BC74" s="98">
        <v>3</v>
      </c>
      <c r="BD74" s="98">
        <v>4</v>
      </c>
    </row>
    <row r="75" spans="1:56" x14ac:dyDescent="0.3">
      <c r="A75" s="110">
        <v>7</v>
      </c>
      <c r="B75" s="110"/>
      <c r="C75" s="68">
        <v>1</v>
      </c>
      <c r="D75" s="42">
        <v>20</v>
      </c>
      <c r="E75" s="42" t="s">
        <v>29</v>
      </c>
      <c r="F75" s="42" t="s">
        <v>29</v>
      </c>
      <c r="G75" s="42" t="s">
        <v>29</v>
      </c>
      <c r="H75" s="42" t="s">
        <v>29</v>
      </c>
      <c r="K75" s="98">
        <v>1</v>
      </c>
      <c r="L75" s="42">
        <v>40</v>
      </c>
      <c r="M75" s="42" t="s">
        <v>29</v>
      </c>
      <c r="N75" s="42" t="s">
        <v>29</v>
      </c>
      <c r="O75" s="42" t="s">
        <v>29</v>
      </c>
      <c r="P75" s="42" t="s">
        <v>29</v>
      </c>
      <c r="S75" s="98">
        <v>1</v>
      </c>
      <c r="T75" s="42">
        <v>100</v>
      </c>
      <c r="U75" s="42" t="s">
        <v>29</v>
      </c>
      <c r="V75" s="42" t="s">
        <v>29</v>
      </c>
      <c r="W75" s="42" t="s">
        <v>29</v>
      </c>
      <c r="X75" s="42" t="s">
        <v>29</v>
      </c>
      <c r="AA75" s="98">
        <v>1</v>
      </c>
      <c r="AB75" s="42">
        <v>300</v>
      </c>
      <c r="AC75" s="42" t="s">
        <v>29</v>
      </c>
      <c r="AD75" s="42" t="s">
        <v>29</v>
      </c>
      <c r="AE75" s="42" t="s">
        <v>29</v>
      </c>
      <c r="AF75" s="42" t="s">
        <v>29</v>
      </c>
      <c r="AI75" s="98">
        <v>1</v>
      </c>
      <c r="AJ75" s="42">
        <v>900</v>
      </c>
      <c r="AK75" s="42" t="s">
        <v>29</v>
      </c>
      <c r="AL75" s="42" t="s">
        <v>29</v>
      </c>
      <c r="AM75" s="42" t="s">
        <v>29</v>
      </c>
      <c r="AN75" s="42" t="s">
        <v>29</v>
      </c>
      <c r="AQ75" s="98">
        <v>1</v>
      </c>
      <c r="AR75" s="42">
        <v>1250</v>
      </c>
      <c r="AS75" s="42" t="s">
        <v>29</v>
      </c>
      <c r="AT75" s="42" t="s">
        <v>29</v>
      </c>
      <c r="AU75" s="42" t="s">
        <v>29</v>
      </c>
      <c r="AV75" s="42" t="s">
        <v>29</v>
      </c>
      <c r="AY75" s="98">
        <v>1</v>
      </c>
      <c r="AZ75" s="42">
        <v>1500</v>
      </c>
      <c r="BA75" s="42" t="s">
        <v>29</v>
      </c>
      <c r="BB75" s="42" t="s">
        <v>29</v>
      </c>
      <c r="BC75" s="42" t="s">
        <v>29</v>
      </c>
      <c r="BD75" s="42" t="s">
        <v>29</v>
      </c>
    </row>
    <row r="76" spans="1:56" x14ac:dyDescent="0.3">
      <c r="A76" s="110"/>
      <c r="B76" s="110"/>
      <c r="C76" s="68">
        <v>2</v>
      </c>
      <c r="D76" s="42">
        <v>20</v>
      </c>
      <c r="E76" s="42">
        <v>8</v>
      </c>
      <c r="F76" s="42" t="s">
        <v>29</v>
      </c>
      <c r="G76" s="42" t="s">
        <v>29</v>
      </c>
      <c r="H76" s="42" t="s">
        <v>29</v>
      </c>
      <c r="I76" s="4"/>
      <c r="J76" s="4"/>
      <c r="K76" s="98">
        <v>2</v>
      </c>
      <c r="L76" s="42">
        <v>40</v>
      </c>
      <c r="M76" s="42">
        <v>17</v>
      </c>
      <c r="N76" s="42" t="s">
        <v>29</v>
      </c>
      <c r="O76" s="42" t="s">
        <v>29</v>
      </c>
      <c r="P76" s="42" t="s">
        <v>29</v>
      </c>
      <c r="S76" s="98">
        <v>2</v>
      </c>
      <c r="T76" s="42">
        <v>100</v>
      </c>
      <c r="U76" s="42">
        <v>43</v>
      </c>
      <c r="V76" s="42" t="s">
        <v>29</v>
      </c>
      <c r="W76" s="42" t="s">
        <v>29</v>
      </c>
      <c r="X76" s="42" t="s">
        <v>29</v>
      </c>
      <c r="AA76" s="98">
        <v>2</v>
      </c>
      <c r="AB76" s="42">
        <v>300</v>
      </c>
      <c r="AC76" s="42">
        <v>131</v>
      </c>
      <c r="AD76" s="42" t="s">
        <v>29</v>
      </c>
      <c r="AE76" s="42" t="s">
        <v>29</v>
      </c>
      <c r="AF76" s="42" t="s">
        <v>29</v>
      </c>
      <c r="AI76" s="98">
        <v>2</v>
      </c>
      <c r="AJ76" s="42">
        <v>900</v>
      </c>
      <c r="AK76" s="42">
        <v>393</v>
      </c>
      <c r="AL76" s="42" t="s">
        <v>29</v>
      </c>
      <c r="AM76" s="42" t="s">
        <v>29</v>
      </c>
      <c r="AN76" s="42" t="s">
        <v>29</v>
      </c>
      <c r="AQ76" s="98">
        <v>2</v>
      </c>
      <c r="AR76" s="42">
        <v>1250</v>
      </c>
      <c r="AS76" s="42">
        <v>546</v>
      </c>
      <c r="AT76" s="42" t="s">
        <v>29</v>
      </c>
      <c r="AU76" s="42" t="s">
        <v>29</v>
      </c>
      <c r="AV76" s="42" t="s">
        <v>29</v>
      </c>
      <c r="AY76" s="98">
        <v>2</v>
      </c>
      <c r="AZ76" s="42">
        <v>1500</v>
      </c>
      <c r="BA76" s="42">
        <v>656</v>
      </c>
      <c r="BB76" s="42" t="s">
        <v>29</v>
      </c>
      <c r="BC76" s="42" t="s">
        <v>29</v>
      </c>
      <c r="BD76" s="42" t="s">
        <v>29</v>
      </c>
    </row>
    <row r="77" spans="1:56" x14ac:dyDescent="0.3">
      <c r="A77" s="110"/>
      <c r="B77" s="110"/>
      <c r="C77" s="68">
        <v>3</v>
      </c>
      <c r="D77" s="42">
        <v>18</v>
      </c>
      <c r="E77" s="42">
        <v>10</v>
      </c>
      <c r="F77" s="42" t="s">
        <v>29</v>
      </c>
      <c r="G77" s="42" t="s">
        <v>29</v>
      </c>
      <c r="H77" s="42" t="s">
        <v>29</v>
      </c>
      <c r="I77" s="4"/>
      <c r="J77" s="4"/>
      <c r="K77" s="98">
        <v>3</v>
      </c>
      <c r="L77" s="42">
        <v>39</v>
      </c>
      <c r="M77" s="42">
        <v>22</v>
      </c>
      <c r="N77" s="42" t="s">
        <v>29</v>
      </c>
      <c r="O77" s="42" t="s">
        <v>29</v>
      </c>
      <c r="P77" s="42" t="s">
        <v>29</v>
      </c>
      <c r="S77" s="98">
        <v>3</v>
      </c>
      <c r="T77" s="42">
        <v>99</v>
      </c>
      <c r="U77" s="42">
        <v>58</v>
      </c>
      <c r="V77" s="42" t="s">
        <v>29</v>
      </c>
      <c r="W77" s="42" t="s">
        <v>29</v>
      </c>
      <c r="X77" s="42" t="s">
        <v>29</v>
      </c>
      <c r="AA77" s="98">
        <v>3</v>
      </c>
      <c r="AB77" s="42">
        <v>300</v>
      </c>
      <c r="AC77" s="42">
        <v>174</v>
      </c>
      <c r="AD77" s="42" t="s">
        <v>29</v>
      </c>
      <c r="AE77" s="42" t="s">
        <v>29</v>
      </c>
      <c r="AF77" s="42" t="s">
        <v>29</v>
      </c>
      <c r="AI77" s="98">
        <v>3</v>
      </c>
      <c r="AJ77" s="42">
        <v>900</v>
      </c>
      <c r="AK77" s="42">
        <v>524</v>
      </c>
      <c r="AL77" s="42" t="s">
        <v>29</v>
      </c>
      <c r="AM77" s="42" t="s">
        <v>29</v>
      </c>
      <c r="AN77" s="42" t="s">
        <v>29</v>
      </c>
      <c r="AQ77" s="98">
        <v>3</v>
      </c>
      <c r="AR77" s="42">
        <v>1248</v>
      </c>
      <c r="AS77" s="42">
        <v>728</v>
      </c>
      <c r="AT77" s="42" t="s">
        <v>29</v>
      </c>
      <c r="AU77" s="42" t="s">
        <v>29</v>
      </c>
      <c r="AV77" s="42" t="s">
        <v>29</v>
      </c>
      <c r="AY77" s="98">
        <v>3</v>
      </c>
      <c r="AZ77" s="42">
        <v>1500</v>
      </c>
      <c r="BA77" s="42">
        <v>874</v>
      </c>
      <c r="BB77" s="42" t="s">
        <v>29</v>
      </c>
      <c r="BC77" s="42" t="s">
        <v>29</v>
      </c>
      <c r="BD77" s="42" t="s">
        <v>29</v>
      </c>
    </row>
    <row r="78" spans="1:56" x14ac:dyDescent="0.3">
      <c r="A78" s="110"/>
      <c r="B78" s="110"/>
      <c r="C78" s="68">
        <v>4</v>
      </c>
      <c r="D78" s="42">
        <v>20</v>
      </c>
      <c r="E78" s="42">
        <v>12</v>
      </c>
      <c r="F78" s="42">
        <v>6</v>
      </c>
      <c r="G78" s="42" t="s">
        <v>29</v>
      </c>
      <c r="H78" s="42" t="s">
        <v>29</v>
      </c>
      <c r="I78" s="41"/>
      <c r="J78" s="41"/>
      <c r="K78" s="98">
        <v>4</v>
      </c>
      <c r="L78" s="42">
        <v>40</v>
      </c>
      <c r="M78" s="42">
        <v>24</v>
      </c>
      <c r="N78" s="42">
        <v>14</v>
      </c>
      <c r="O78" s="42" t="s">
        <v>29</v>
      </c>
      <c r="P78" s="42" t="s">
        <v>29</v>
      </c>
      <c r="S78" s="98">
        <v>4</v>
      </c>
      <c r="T78" s="42">
        <v>100</v>
      </c>
      <c r="U78" s="42">
        <v>63</v>
      </c>
      <c r="V78" s="42">
        <v>36</v>
      </c>
      <c r="W78" s="42" t="s">
        <v>29</v>
      </c>
      <c r="X78" s="42" t="s">
        <v>29</v>
      </c>
      <c r="AA78" s="98">
        <v>4</v>
      </c>
      <c r="AB78" s="42">
        <v>300</v>
      </c>
      <c r="AC78" s="42">
        <v>195</v>
      </c>
      <c r="AD78" s="42">
        <v>112</v>
      </c>
      <c r="AE78" s="42" t="s">
        <v>29</v>
      </c>
      <c r="AF78" s="42" t="s">
        <v>29</v>
      </c>
      <c r="AI78" s="98">
        <v>4</v>
      </c>
      <c r="AJ78" s="42">
        <v>900</v>
      </c>
      <c r="AK78" s="42">
        <v>588</v>
      </c>
      <c r="AL78" s="42">
        <v>336</v>
      </c>
      <c r="AM78" s="42" t="s">
        <v>29</v>
      </c>
      <c r="AN78" s="42" t="s">
        <v>29</v>
      </c>
      <c r="AQ78" s="98">
        <v>4</v>
      </c>
      <c r="AR78" s="42">
        <v>1248</v>
      </c>
      <c r="AS78" s="42">
        <v>819</v>
      </c>
      <c r="AT78" s="42">
        <v>468</v>
      </c>
      <c r="AU78" s="42" t="s">
        <v>29</v>
      </c>
      <c r="AV78" s="42" t="s">
        <v>29</v>
      </c>
      <c r="AY78" s="98">
        <v>4</v>
      </c>
      <c r="AZ78" s="42">
        <v>1500</v>
      </c>
      <c r="BA78" s="42">
        <v>984</v>
      </c>
      <c r="BB78" s="42">
        <v>562</v>
      </c>
      <c r="BC78" s="42" t="s">
        <v>29</v>
      </c>
      <c r="BD78" s="42" t="s">
        <v>29</v>
      </c>
    </row>
    <row r="79" spans="1:56" x14ac:dyDescent="0.3">
      <c r="A79" s="110"/>
      <c r="B79" s="110"/>
      <c r="C79" s="68">
        <v>5</v>
      </c>
      <c r="D79" s="42">
        <v>20</v>
      </c>
      <c r="E79" s="42">
        <v>12</v>
      </c>
      <c r="F79" s="42">
        <v>9</v>
      </c>
      <c r="G79" s="42" t="s">
        <v>29</v>
      </c>
      <c r="H79" s="42" t="s">
        <v>29</v>
      </c>
      <c r="I79" s="41"/>
      <c r="J79" s="41"/>
      <c r="K79" s="98">
        <v>5</v>
      </c>
      <c r="L79" s="42">
        <v>40</v>
      </c>
      <c r="M79" s="42">
        <v>28</v>
      </c>
      <c r="N79" s="42">
        <v>18</v>
      </c>
      <c r="O79" s="42" t="s">
        <v>29</v>
      </c>
      <c r="P79" s="42" t="s">
        <v>29</v>
      </c>
      <c r="S79" s="98">
        <v>5</v>
      </c>
      <c r="T79" s="42">
        <v>100</v>
      </c>
      <c r="U79" s="42">
        <v>68</v>
      </c>
      <c r="V79" s="42">
        <v>45</v>
      </c>
      <c r="W79" s="42" t="s">
        <v>29</v>
      </c>
      <c r="X79" s="42" t="s">
        <v>29</v>
      </c>
      <c r="AA79" s="98">
        <v>5</v>
      </c>
      <c r="AB79" s="42">
        <v>300</v>
      </c>
      <c r="AC79" s="42">
        <v>208</v>
      </c>
      <c r="AD79" s="42">
        <v>135</v>
      </c>
      <c r="AE79" s="42" t="s">
        <v>29</v>
      </c>
      <c r="AF79" s="42" t="s">
        <v>29</v>
      </c>
      <c r="AI79" s="98">
        <v>5</v>
      </c>
      <c r="AJ79" s="42">
        <v>900</v>
      </c>
      <c r="AK79" s="42">
        <v>628</v>
      </c>
      <c r="AL79" s="42">
        <v>405</v>
      </c>
      <c r="AM79" s="42" t="s">
        <v>29</v>
      </c>
      <c r="AN79" s="42" t="s">
        <v>29</v>
      </c>
      <c r="AQ79" s="98">
        <v>5</v>
      </c>
      <c r="AR79" s="42">
        <v>1250</v>
      </c>
      <c r="AS79" s="42">
        <v>872</v>
      </c>
      <c r="AT79" s="42">
        <v>561</v>
      </c>
      <c r="AU79" s="42" t="s">
        <v>29</v>
      </c>
      <c r="AV79" s="42" t="s">
        <v>29</v>
      </c>
      <c r="AY79" s="98">
        <v>5</v>
      </c>
      <c r="AZ79" s="42">
        <v>1500</v>
      </c>
      <c r="BA79" s="42">
        <v>1048</v>
      </c>
      <c r="BB79" s="42">
        <v>675</v>
      </c>
      <c r="BC79" s="42" t="s">
        <v>29</v>
      </c>
      <c r="BD79" s="42" t="s">
        <v>29</v>
      </c>
    </row>
    <row r="80" spans="1:56" x14ac:dyDescent="0.3">
      <c r="A80" s="110"/>
      <c r="B80" s="110"/>
      <c r="C80" s="68">
        <v>6</v>
      </c>
      <c r="D80" s="42">
        <v>18</v>
      </c>
      <c r="E80" s="42">
        <v>10</v>
      </c>
      <c r="F80" s="42">
        <v>8</v>
      </c>
      <c r="G80" s="42">
        <v>6</v>
      </c>
      <c r="H80" s="42" t="s">
        <v>29</v>
      </c>
      <c r="I80" s="41"/>
      <c r="J80" s="41"/>
      <c r="K80" s="98">
        <v>6</v>
      </c>
      <c r="L80" s="42">
        <v>36</v>
      </c>
      <c r="M80" s="42">
        <v>25</v>
      </c>
      <c r="N80" s="42">
        <v>20</v>
      </c>
      <c r="O80" s="42">
        <v>12</v>
      </c>
      <c r="P80" s="42" t="s">
        <v>29</v>
      </c>
      <c r="S80" s="98">
        <v>6</v>
      </c>
      <c r="T80" s="42">
        <v>96</v>
      </c>
      <c r="U80" s="42">
        <v>70</v>
      </c>
      <c r="V80" s="42">
        <v>48</v>
      </c>
      <c r="W80" s="42">
        <v>30</v>
      </c>
      <c r="X80" s="42" t="s">
        <v>29</v>
      </c>
      <c r="AA80" s="98">
        <v>6</v>
      </c>
      <c r="AB80" s="42">
        <v>300</v>
      </c>
      <c r="AC80" s="42">
        <v>215</v>
      </c>
      <c r="AD80" s="42">
        <v>148</v>
      </c>
      <c r="AE80" s="42">
        <v>93</v>
      </c>
      <c r="AF80" s="42" t="s">
        <v>29</v>
      </c>
      <c r="AI80" s="98">
        <v>6</v>
      </c>
      <c r="AJ80" s="42">
        <v>900</v>
      </c>
      <c r="AK80" s="42">
        <v>655</v>
      </c>
      <c r="AL80" s="42">
        <v>448</v>
      </c>
      <c r="AM80" s="42">
        <v>279</v>
      </c>
      <c r="AN80" s="42" t="s">
        <v>29</v>
      </c>
      <c r="AQ80" s="98">
        <v>6</v>
      </c>
      <c r="AR80" s="42">
        <v>1248</v>
      </c>
      <c r="AS80" s="42">
        <v>910</v>
      </c>
      <c r="AT80" s="42">
        <v>624</v>
      </c>
      <c r="AU80" s="42">
        <v>390</v>
      </c>
      <c r="AV80" s="42" t="s">
        <v>29</v>
      </c>
      <c r="AY80" s="98">
        <v>6</v>
      </c>
      <c r="AZ80" s="42">
        <v>1500</v>
      </c>
      <c r="BA80" s="42">
        <v>1090</v>
      </c>
      <c r="BB80" s="42">
        <v>748</v>
      </c>
      <c r="BC80" s="42">
        <v>468</v>
      </c>
      <c r="BD80" s="42" t="s">
        <v>29</v>
      </c>
    </row>
    <row r="81" spans="1:56" x14ac:dyDescent="0.3">
      <c r="A81" s="110"/>
      <c r="B81" s="110"/>
      <c r="C81" s="68">
        <v>7</v>
      </c>
      <c r="D81" s="42">
        <v>14</v>
      </c>
      <c r="E81" s="42">
        <v>12</v>
      </c>
      <c r="F81" s="42">
        <v>10</v>
      </c>
      <c r="G81" s="42">
        <v>4</v>
      </c>
      <c r="H81" s="42" t="s">
        <v>29</v>
      </c>
      <c r="I81" s="41"/>
      <c r="J81" s="41"/>
      <c r="K81" s="98">
        <v>7</v>
      </c>
      <c r="L81" s="42">
        <v>35</v>
      </c>
      <c r="M81" s="42">
        <v>30</v>
      </c>
      <c r="N81" s="42">
        <v>20</v>
      </c>
      <c r="O81" s="42">
        <v>12</v>
      </c>
      <c r="P81" s="42" t="s">
        <v>29</v>
      </c>
      <c r="S81" s="98">
        <v>7</v>
      </c>
      <c r="T81" s="42">
        <v>98</v>
      </c>
      <c r="U81" s="42">
        <v>72</v>
      </c>
      <c r="V81" s="42">
        <v>50</v>
      </c>
      <c r="W81" s="42">
        <v>32</v>
      </c>
      <c r="X81" s="42" t="s">
        <v>29</v>
      </c>
      <c r="AA81" s="98">
        <v>7</v>
      </c>
      <c r="AB81" s="42">
        <v>294</v>
      </c>
      <c r="AC81" s="42">
        <v>222</v>
      </c>
      <c r="AD81" s="42">
        <v>160</v>
      </c>
      <c r="AE81" s="42">
        <v>104</v>
      </c>
      <c r="AF81" s="42" t="s">
        <v>29</v>
      </c>
      <c r="AI81" s="98">
        <v>7</v>
      </c>
      <c r="AJ81" s="42">
        <v>896</v>
      </c>
      <c r="AK81" s="42">
        <v>672</v>
      </c>
      <c r="AL81" s="42">
        <v>480</v>
      </c>
      <c r="AM81" s="42">
        <v>320</v>
      </c>
      <c r="AN81" s="42" t="s">
        <v>29</v>
      </c>
      <c r="AQ81" s="98">
        <v>7</v>
      </c>
      <c r="AR81" s="42">
        <v>1246</v>
      </c>
      <c r="AS81" s="42">
        <v>936</v>
      </c>
      <c r="AT81" s="42">
        <v>665</v>
      </c>
      <c r="AU81" s="42">
        <v>444</v>
      </c>
      <c r="AV81" s="42" t="s">
        <v>29</v>
      </c>
      <c r="AY81" s="98">
        <v>7</v>
      </c>
      <c r="AZ81" s="42">
        <v>1498</v>
      </c>
      <c r="BA81" s="42">
        <v>1122</v>
      </c>
      <c r="BB81" s="42">
        <v>800</v>
      </c>
      <c r="BC81" s="42">
        <v>532</v>
      </c>
      <c r="BD81" s="42" t="s">
        <v>29</v>
      </c>
    </row>
    <row r="82" spans="1:56" x14ac:dyDescent="0.3">
      <c r="A82" s="110"/>
      <c r="B82" s="110"/>
      <c r="C82" s="68">
        <v>8</v>
      </c>
      <c r="D82" s="42">
        <v>16</v>
      </c>
      <c r="E82" s="42">
        <v>14</v>
      </c>
      <c r="F82" s="42">
        <v>6</v>
      </c>
      <c r="G82" s="42">
        <v>5</v>
      </c>
      <c r="H82" s="42">
        <v>4</v>
      </c>
      <c r="I82" s="41"/>
      <c r="J82" s="41"/>
      <c r="K82" s="98">
        <v>8</v>
      </c>
      <c r="L82" s="42">
        <v>40</v>
      </c>
      <c r="M82" s="42">
        <v>28</v>
      </c>
      <c r="N82" s="42">
        <v>18</v>
      </c>
      <c r="O82" s="42">
        <v>15</v>
      </c>
      <c r="P82" s="42">
        <v>8</v>
      </c>
      <c r="S82" s="98">
        <v>8</v>
      </c>
      <c r="T82" s="42">
        <v>96</v>
      </c>
      <c r="U82" s="42">
        <v>70</v>
      </c>
      <c r="V82" s="42">
        <v>54</v>
      </c>
      <c r="W82" s="42">
        <v>35</v>
      </c>
      <c r="X82" s="42">
        <v>24</v>
      </c>
      <c r="AA82" s="98">
        <v>8</v>
      </c>
      <c r="AB82" s="42">
        <v>296</v>
      </c>
      <c r="AC82" s="42">
        <v>224</v>
      </c>
      <c r="AD82" s="42">
        <v>168</v>
      </c>
      <c r="AE82" s="42">
        <v>115</v>
      </c>
      <c r="AF82" s="42">
        <v>72</v>
      </c>
      <c r="AI82" s="98">
        <v>8</v>
      </c>
      <c r="AJ82" s="42">
        <v>896</v>
      </c>
      <c r="AK82" s="42">
        <v>686</v>
      </c>
      <c r="AL82" s="42">
        <v>504</v>
      </c>
      <c r="AM82" s="42">
        <v>350</v>
      </c>
      <c r="AN82" s="42">
        <v>224</v>
      </c>
      <c r="AQ82" s="98">
        <v>8</v>
      </c>
      <c r="AR82" s="42">
        <v>1248</v>
      </c>
      <c r="AS82" s="42">
        <v>952</v>
      </c>
      <c r="AT82" s="42">
        <v>702</v>
      </c>
      <c r="AU82" s="42">
        <v>485</v>
      </c>
      <c r="AV82" s="42">
        <v>312</v>
      </c>
      <c r="AY82" s="98">
        <v>8</v>
      </c>
      <c r="AZ82" s="42">
        <v>1496</v>
      </c>
      <c r="BA82" s="42">
        <v>1148</v>
      </c>
      <c r="BB82" s="42">
        <v>840</v>
      </c>
      <c r="BC82" s="42">
        <v>585</v>
      </c>
      <c r="BD82" s="42">
        <v>372</v>
      </c>
    </row>
    <row r="83" spans="1:56" x14ac:dyDescent="0.3">
      <c r="A83" s="110"/>
      <c r="B83" s="110"/>
      <c r="C83" s="68">
        <v>9</v>
      </c>
      <c r="D83" s="42">
        <v>18</v>
      </c>
      <c r="E83" s="42">
        <v>8</v>
      </c>
      <c r="F83" s="42">
        <v>7</v>
      </c>
      <c r="G83" s="42">
        <v>6</v>
      </c>
      <c r="H83" s="42">
        <v>5</v>
      </c>
      <c r="I83" s="41"/>
      <c r="J83" s="41"/>
      <c r="K83" s="98">
        <v>9</v>
      </c>
      <c r="L83" s="42">
        <v>36</v>
      </c>
      <c r="M83" s="42">
        <v>24</v>
      </c>
      <c r="N83" s="42">
        <v>21</v>
      </c>
      <c r="O83" s="42">
        <v>12</v>
      </c>
      <c r="P83" s="42">
        <v>10</v>
      </c>
      <c r="S83" s="98">
        <v>9</v>
      </c>
      <c r="T83" s="42">
        <v>99</v>
      </c>
      <c r="U83" s="42">
        <v>72</v>
      </c>
      <c r="V83" s="42">
        <v>56</v>
      </c>
      <c r="W83" s="42">
        <v>36</v>
      </c>
      <c r="X83" s="42">
        <v>25</v>
      </c>
      <c r="AA83" s="98">
        <v>9</v>
      </c>
      <c r="AB83" s="42">
        <v>297</v>
      </c>
      <c r="AC83" s="42">
        <v>232</v>
      </c>
      <c r="AD83" s="42">
        <v>175</v>
      </c>
      <c r="AE83" s="42">
        <v>120</v>
      </c>
      <c r="AF83" s="42">
        <v>80</v>
      </c>
      <c r="AI83" s="98">
        <v>9</v>
      </c>
      <c r="AJ83" s="42">
        <v>900</v>
      </c>
      <c r="AK83" s="42">
        <v>696</v>
      </c>
      <c r="AL83" s="42">
        <v>525</v>
      </c>
      <c r="AM83" s="42">
        <v>372</v>
      </c>
      <c r="AN83" s="42">
        <v>250</v>
      </c>
      <c r="AQ83" s="98">
        <v>9</v>
      </c>
      <c r="AR83" s="42">
        <v>1242</v>
      </c>
      <c r="AS83" s="42">
        <v>968</v>
      </c>
      <c r="AT83" s="42">
        <v>728</v>
      </c>
      <c r="AU83" s="42">
        <v>516</v>
      </c>
      <c r="AV83" s="42">
        <v>345</v>
      </c>
      <c r="AY83" s="98">
        <v>9</v>
      </c>
      <c r="AZ83" s="42">
        <v>1494</v>
      </c>
      <c r="BA83" s="42">
        <v>1160</v>
      </c>
      <c r="BB83" s="42">
        <v>875</v>
      </c>
      <c r="BC83" s="42">
        <v>624</v>
      </c>
      <c r="BD83" s="42">
        <v>415</v>
      </c>
    </row>
    <row r="85" spans="1:56" ht="15" x14ac:dyDescent="0.25">
      <c r="D85" s="109" t="s">
        <v>31</v>
      </c>
      <c r="E85" s="109"/>
      <c r="F85" s="109"/>
      <c r="G85" s="109"/>
      <c r="H85" s="109"/>
      <c r="L85" s="109" t="s">
        <v>30</v>
      </c>
      <c r="M85" s="109"/>
      <c r="N85" s="109"/>
      <c r="O85" s="109"/>
      <c r="P85" s="109"/>
      <c r="T85" s="109" t="s">
        <v>32</v>
      </c>
      <c r="U85" s="109"/>
      <c r="V85" s="109"/>
      <c r="W85" s="109"/>
      <c r="X85" s="109"/>
      <c r="AB85" s="109" t="s">
        <v>33</v>
      </c>
      <c r="AC85" s="109"/>
      <c r="AD85" s="109"/>
      <c r="AE85" s="109"/>
      <c r="AF85" s="109"/>
      <c r="AJ85" s="109" t="s">
        <v>34</v>
      </c>
      <c r="AK85" s="109"/>
      <c r="AL85" s="109"/>
      <c r="AM85" s="109"/>
      <c r="AN85" s="109"/>
      <c r="AR85" s="109" t="s">
        <v>35</v>
      </c>
      <c r="AS85" s="109"/>
      <c r="AT85" s="109"/>
      <c r="AU85" s="109"/>
      <c r="AV85" s="109"/>
      <c r="AZ85" s="109" t="s">
        <v>36</v>
      </c>
      <c r="BA85" s="109"/>
      <c r="BB85" s="109"/>
      <c r="BC85" s="109"/>
      <c r="BD85" s="109"/>
    </row>
    <row r="86" spans="1:56" ht="15" x14ac:dyDescent="0.25">
      <c r="C86" s="47"/>
      <c r="D86" s="68">
        <v>0</v>
      </c>
      <c r="E86" s="68">
        <v>1</v>
      </c>
      <c r="F86" s="68">
        <v>2</v>
      </c>
      <c r="G86" s="68">
        <v>3</v>
      </c>
      <c r="H86" s="68">
        <v>4</v>
      </c>
      <c r="K86" s="47"/>
      <c r="L86" s="68">
        <v>0</v>
      </c>
      <c r="M86" s="68">
        <v>1</v>
      </c>
      <c r="N86" s="68">
        <v>2</v>
      </c>
      <c r="O86" s="68">
        <v>3</v>
      </c>
      <c r="P86" s="68">
        <v>4</v>
      </c>
      <c r="S86" s="47"/>
      <c r="T86" s="98">
        <v>0</v>
      </c>
      <c r="U86" s="98">
        <v>1</v>
      </c>
      <c r="V86" s="98">
        <v>2</v>
      </c>
      <c r="W86" s="98">
        <v>3</v>
      </c>
      <c r="X86" s="98">
        <v>4</v>
      </c>
      <c r="AA86" s="47"/>
      <c r="AB86" s="98">
        <v>0</v>
      </c>
      <c r="AC86" s="98">
        <v>1</v>
      </c>
      <c r="AD86" s="98">
        <v>2</v>
      </c>
      <c r="AE86" s="98">
        <v>3</v>
      </c>
      <c r="AF86" s="98">
        <v>4</v>
      </c>
      <c r="AI86" s="47"/>
      <c r="AJ86" s="98">
        <v>0</v>
      </c>
      <c r="AK86" s="98">
        <v>1</v>
      </c>
      <c r="AL86" s="98">
        <v>2</v>
      </c>
      <c r="AM86" s="98">
        <v>3</v>
      </c>
      <c r="AN86" s="98">
        <v>4</v>
      </c>
      <c r="AQ86" s="47"/>
      <c r="AR86" s="98">
        <v>0</v>
      </c>
      <c r="AS86" s="98">
        <v>1</v>
      </c>
      <c r="AT86" s="98">
        <v>2</v>
      </c>
      <c r="AU86" s="98">
        <v>3</v>
      </c>
      <c r="AV86" s="98">
        <v>4</v>
      </c>
      <c r="AY86" s="47"/>
      <c r="AZ86" s="98">
        <v>0</v>
      </c>
      <c r="BA86" s="98">
        <v>1</v>
      </c>
      <c r="BB86" s="98">
        <v>2</v>
      </c>
      <c r="BC86" s="98">
        <v>3</v>
      </c>
      <c r="BD86" s="98">
        <v>4</v>
      </c>
    </row>
    <row r="87" spans="1:56" x14ac:dyDescent="0.3">
      <c r="A87" s="110">
        <v>8</v>
      </c>
      <c r="B87" s="110"/>
      <c r="C87" s="68">
        <v>1</v>
      </c>
      <c r="D87" s="42">
        <v>24</v>
      </c>
      <c r="E87" s="42" t="s">
        <v>29</v>
      </c>
      <c r="F87" s="42" t="s">
        <v>29</v>
      </c>
      <c r="G87" s="42" t="s">
        <v>29</v>
      </c>
      <c r="H87" s="42" t="s">
        <v>29</v>
      </c>
      <c r="K87" s="68">
        <v>1</v>
      </c>
      <c r="L87" s="42">
        <v>48</v>
      </c>
      <c r="M87" s="42" t="s">
        <v>29</v>
      </c>
      <c r="N87" s="42" t="s">
        <v>29</v>
      </c>
      <c r="O87" s="42" t="s">
        <v>29</v>
      </c>
      <c r="P87" s="42" t="s">
        <v>29</v>
      </c>
      <c r="S87" s="98">
        <v>1</v>
      </c>
      <c r="T87" s="42">
        <v>120</v>
      </c>
      <c r="U87" s="42" t="s">
        <v>29</v>
      </c>
      <c r="V87" s="42" t="s">
        <v>29</v>
      </c>
      <c r="W87" s="42" t="s">
        <v>29</v>
      </c>
      <c r="X87" s="42" t="s">
        <v>29</v>
      </c>
      <c r="AA87" s="98">
        <v>1</v>
      </c>
      <c r="AB87" s="42">
        <v>360</v>
      </c>
      <c r="AC87" s="42" t="s">
        <v>29</v>
      </c>
      <c r="AD87" s="42" t="s">
        <v>29</v>
      </c>
      <c r="AE87" s="42" t="s">
        <v>29</v>
      </c>
      <c r="AF87" s="42" t="s">
        <v>29</v>
      </c>
      <c r="AI87" s="98">
        <v>1</v>
      </c>
      <c r="AJ87" s="42">
        <v>1000</v>
      </c>
      <c r="AK87" s="42" t="s">
        <v>29</v>
      </c>
      <c r="AL87" s="42" t="s">
        <v>29</v>
      </c>
      <c r="AM87" s="42" t="s">
        <v>29</v>
      </c>
      <c r="AN87" s="42" t="s">
        <v>29</v>
      </c>
      <c r="AQ87" s="98">
        <v>1</v>
      </c>
      <c r="AR87" s="42">
        <v>1400</v>
      </c>
      <c r="AS87" s="42" t="s">
        <v>29</v>
      </c>
      <c r="AT87" s="42" t="s">
        <v>29</v>
      </c>
      <c r="AU87" s="42" t="s">
        <v>29</v>
      </c>
      <c r="AV87" s="42" t="s">
        <v>29</v>
      </c>
      <c r="AY87" s="98">
        <v>1</v>
      </c>
      <c r="AZ87" s="42">
        <v>1800</v>
      </c>
      <c r="BA87" s="42" t="s">
        <v>29</v>
      </c>
      <c r="BB87" s="42" t="s">
        <v>29</v>
      </c>
      <c r="BC87" s="42" t="s">
        <v>29</v>
      </c>
      <c r="BD87" s="42" t="s">
        <v>29</v>
      </c>
    </row>
    <row r="88" spans="1:56" x14ac:dyDescent="0.3">
      <c r="A88" s="110"/>
      <c r="B88" s="110"/>
      <c r="C88" s="68">
        <v>2</v>
      </c>
      <c r="D88" s="42">
        <v>24</v>
      </c>
      <c r="E88" s="42">
        <v>10</v>
      </c>
      <c r="F88" s="42" t="s">
        <v>29</v>
      </c>
      <c r="G88" s="42" t="s">
        <v>29</v>
      </c>
      <c r="H88" s="42" t="s">
        <v>29</v>
      </c>
      <c r="I88" s="4"/>
      <c r="J88" s="4"/>
      <c r="K88" s="68">
        <v>2</v>
      </c>
      <c r="L88" s="42">
        <v>48</v>
      </c>
      <c r="M88" s="42">
        <v>21</v>
      </c>
      <c r="N88" s="42" t="s">
        <v>29</v>
      </c>
      <c r="O88" s="42" t="s">
        <v>29</v>
      </c>
      <c r="P88" s="42" t="s">
        <v>29</v>
      </c>
      <c r="S88" s="98">
        <v>2</v>
      </c>
      <c r="T88" s="42">
        <v>120</v>
      </c>
      <c r="U88" s="42">
        <v>52</v>
      </c>
      <c r="V88" s="42" t="s">
        <v>29</v>
      </c>
      <c r="W88" s="42" t="s">
        <v>29</v>
      </c>
      <c r="X88" s="42" t="s">
        <v>29</v>
      </c>
      <c r="AA88" s="98">
        <v>2</v>
      </c>
      <c r="AB88" s="42">
        <v>360</v>
      </c>
      <c r="AC88" s="42">
        <v>157</v>
      </c>
      <c r="AD88" s="42" t="s">
        <v>29</v>
      </c>
      <c r="AE88" s="42" t="s">
        <v>29</v>
      </c>
      <c r="AF88" s="42" t="s">
        <v>29</v>
      </c>
      <c r="AI88" s="98">
        <v>2</v>
      </c>
      <c r="AJ88" s="42">
        <v>1000</v>
      </c>
      <c r="AK88" s="42">
        <v>437</v>
      </c>
      <c r="AL88" s="42" t="s">
        <v>29</v>
      </c>
      <c r="AM88" s="42" t="s">
        <v>29</v>
      </c>
      <c r="AN88" s="42" t="s">
        <v>29</v>
      </c>
      <c r="AQ88" s="98">
        <v>2</v>
      </c>
      <c r="AR88" s="42">
        <v>1400</v>
      </c>
      <c r="AS88" s="42">
        <v>612</v>
      </c>
      <c r="AT88" s="42" t="s">
        <v>29</v>
      </c>
      <c r="AU88" s="42" t="s">
        <v>29</v>
      </c>
      <c r="AV88" s="42" t="s">
        <v>29</v>
      </c>
      <c r="AY88" s="98">
        <v>2</v>
      </c>
      <c r="AZ88" s="42">
        <v>1800</v>
      </c>
      <c r="BA88" s="42">
        <v>787</v>
      </c>
      <c r="BB88" s="42" t="s">
        <v>29</v>
      </c>
      <c r="BC88" s="42" t="s">
        <v>29</v>
      </c>
      <c r="BD88" s="42" t="s">
        <v>29</v>
      </c>
    </row>
    <row r="89" spans="1:56" x14ac:dyDescent="0.3">
      <c r="A89" s="110"/>
      <c r="B89" s="110"/>
      <c r="C89" s="68">
        <v>3</v>
      </c>
      <c r="D89" s="42">
        <v>24</v>
      </c>
      <c r="E89" s="42">
        <v>14</v>
      </c>
      <c r="F89" s="42" t="s">
        <v>29</v>
      </c>
      <c r="G89" s="42" t="s">
        <v>29</v>
      </c>
      <c r="H89" s="42" t="s">
        <v>29</v>
      </c>
      <c r="I89" s="4"/>
      <c r="J89" s="4"/>
      <c r="K89" s="68">
        <v>3</v>
      </c>
      <c r="L89" s="42">
        <v>48</v>
      </c>
      <c r="M89" s="42">
        <v>28</v>
      </c>
      <c r="N89" s="42" t="s">
        <v>29</v>
      </c>
      <c r="O89" s="42" t="s">
        <v>29</v>
      </c>
      <c r="P89" s="42" t="s">
        <v>29</v>
      </c>
      <c r="S89" s="98">
        <v>3</v>
      </c>
      <c r="T89" s="42">
        <v>120</v>
      </c>
      <c r="U89" s="42">
        <v>70</v>
      </c>
      <c r="V89" s="42" t="s">
        <v>29</v>
      </c>
      <c r="W89" s="42" t="s">
        <v>29</v>
      </c>
      <c r="X89" s="42" t="s">
        <v>29</v>
      </c>
      <c r="AA89" s="98">
        <v>3</v>
      </c>
      <c r="AB89" s="42">
        <v>360</v>
      </c>
      <c r="AC89" s="42">
        <v>210</v>
      </c>
      <c r="AD89" s="42" t="s">
        <v>29</v>
      </c>
      <c r="AE89" s="42" t="s">
        <v>29</v>
      </c>
      <c r="AF89" s="42" t="s">
        <v>29</v>
      </c>
      <c r="AI89" s="98">
        <v>3</v>
      </c>
      <c r="AJ89" s="42">
        <v>999</v>
      </c>
      <c r="AK89" s="42">
        <v>582</v>
      </c>
      <c r="AL89" s="42" t="s">
        <v>29</v>
      </c>
      <c r="AM89" s="42" t="s">
        <v>29</v>
      </c>
      <c r="AN89" s="42" t="s">
        <v>29</v>
      </c>
      <c r="AQ89" s="98">
        <v>3</v>
      </c>
      <c r="AR89" s="42">
        <v>1398</v>
      </c>
      <c r="AS89" s="42">
        <v>816</v>
      </c>
      <c r="AT89" s="42" t="s">
        <v>29</v>
      </c>
      <c r="AU89" s="42" t="s">
        <v>29</v>
      </c>
      <c r="AV89" s="42" t="s">
        <v>29</v>
      </c>
      <c r="AY89" s="98">
        <v>3</v>
      </c>
      <c r="AZ89" s="42">
        <v>1800</v>
      </c>
      <c r="BA89" s="42">
        <v>1050</v>
      </c>
      <c r="BB89" s="42" t="s">
        <v>29</v>
      </c>
      <c r="BC89" s="42" t="s">
        <v>29</v>
      </c>
      <c r="BD89" s="42" t="s">
        <v>29</v>
      </c>
    </row>
    <row r="90" spans="1:56" x14ac:dyDescent="0.3">
      <c r="A90" s="110"/>
      <c r="B90" s="110"/>
      <c r="C90" s="68">
        <v>4</v>
      </c>
      <c r="D90" s="42">
        <v>24</v>
      </c>
      <c r="E90" s="42">
        <v>15</v>
      </c>
      <c r="F90" s="42">
        <v>8</v>
      </c>
      <c r="G90" s="42" t="s">
        <v>29</v>
      </c>
      <c r="H90" s="42" t="s">
        <v>29</v>
      </c>
      <c r="I90" s="41"/>
      <c r="J90" s="41"/>
      <c r="K90" s="68">
        <v>4</v>
      </c>
      <c r="L90" s="42">
        <v>48</v>
      </c>
      <c r="M90" s="42">
        <v>30</v>
      </c>
      <c r="N90" s="42">
        <v>18</v>
      </c>
      <c r="O90" s="42" t="s">
        <v>29</v>
      </c>
      <c r="P90" s="42" t="s">
        <v>29</v>
      </c>
      <c r="S90" s="98">
        <v>4</v>
      </c>
      <c r="T90" s="42">
        <v>120</v>
      </c>
      <c r="U90" s="42">
        <v>78</v>
      </c>
      <c r="V90" s="42">
        <v>44</v>
      </c>
      <c r="W90" s="42" t="s">
        <v>29</v>
      </c>
      <c r="X90" s="42" t="s">
        <v>29</v>
      </c>
      <c r="AA90" s="98">
        <v>4</v>
      </c>
      <c r="AB90" s="42">
        <v>360</v>
      </c>
      <c r="AC90" s="42">
        <v>234</v>
      </c>
      <c r="AD90" s="42">
        <v>134</v>
      </c>
      <c r="AE90" s="42" t="s">
        <v>29</v>
      </c>
      <c r="AF90" s="42" t="s">
        <v>29</v>
      </c>
      <c r="AI90" s="98">
        <v>4</v>
      </c>
      <c r="AJ90" s="42">
        <v>1000</v>
      </c>
      <c r="AK90" s="42">
        <v>654</v>
      </c>
      <c r="AL90" s="42">
        <v>374</v>
      </c>
      <c r="AM90" s="42" t="s">
        <v>29</v>
      </c>
      <c r="AN90" s="42" t="s">
        <v>29</v>
      </c>
      <c r="AQ90" s="98">
        <v>4</v>
      </c>
      <c r="AR90" s="42">
        <v>1400</v>
      </c>
      <c r="AS90" s="42">
        <v>918</v>
      </c>
      <c r="AT90" s="42">
        <v>524</v>
      </c>
      <c r="AU90" s="42" t="s">
        <v>29</v>
      </c>
      <c r="AV90" s="42" t="s">
        <v>29</v>
      </c>
      <c r="AY90" s="98">
        <v>4</v>
      </c>
      <c r="AZ90" s="42">
        <v>1800</v>
      </c>
      <c r="BA90" s="42">
        <v>1179</v>
      </c>
      <c r="BB90" s="42">
        <v>674</v>
      </c>
      <c r="BC90" s="42" t="s">
        <v>29</v>
      </c>
      <c r="BD90" s="42" t="s">
        <v>29</v>
      </c>
    </row>
    <row r="91" spans="1:56" x14ac:dyDescent="0.3">
      <c r="A91" s="110"/>
      <c r="B91" s="110"/>
      <c r="C91" s="68">
        <v>5</v>
      </c>
      <c r="D91" s="42">
        <v>20</v>
      </c>
      <c r="E91" s="42">
        <v>16</v>
      </c>
      <c r="F91" s="42">
        <v>9</v>
      </c>
      <c r="G91" s="42" t="s">
        <v>29</v>
      </c>
      <c r="H91" s="42" t="s">
        <v>29</v>
      </c>
      <c r="I91" s="41"/>
      <c r="J91" s="41"/>
      <c r="K91" s="68">
        <v>5</v>
      </c>
      <c r="L91" s="42">
        <v>45</v>
      </c>
      <c r="M91" s="42">
        <v>32</v>
      </c>
      <c r="N91" s="42">
        <v>21</v>
      </c>
      <c r="O91" s="42" t="s">
        <v>29</v>
      </c>
      <c r="P91" s="42" t="s">
        <v>29</v>
      </c>
      <c r="S91" s="98">
        <v>5</v>
      </c>
      <c r="T91" s="42">
        <v>120</v>
      </c>
      <c r="U91" s="42">
        <v>84</v>
      </c>
      <c r="V91" s="42">
        <v>54</v>
      </c>
      <c r="W91" s="42" t="s">
        <v>29</v>
      </c>
      <c r="X91" s="42" t="s">
        <v>29</v>
      </c>
      <c r="AA91" s="98">
        <v>5</v>
      </c>
      <c r="AB91" s="42">
        <v>360</v>
      </c>
      <c r="AC91" s="42">
        <v>252</v>
      </c>
      <c r="AD91" s="42">
        <v>162</v>
      </c>
      <c r="AE91" s="42" t="s">
        <v>29</v>
      </c>
      <c r="AF91" s="42" t="s">
        <v>29</v>
      </c>
      <c r="AI91" s="98">
        <v>5</v>
      </c>
      <c r="AJ91" s="42">
        <v>1000</v>
      </c>
      <c r="AK91" s="42">
        <v>700</v>
      </c>
      <c r="AL91" s="42">
        <v>450</v>
      </c>
      <c r="AM91" s="42" t="s">
        <v>29</v>
      </c>
      <c r="AN91" s="42" t="s">
        <v>29</v>
      </c>
      <c r="AQ91" s="98">
        <v>5</v>
      </c>
      <c r="AR91" s="42">
        <v>1400</v>
      </c>
      <c r="AS91" s="42">
        <v>980</v>
      </c>
      <c r="AT91" s="42">
        <v>630</v>
      </c>
      <c r="AU91" s="42" t="s">
        <v>29</v>
      </c>
      <c r="AV91" s="42" t="s">
        <v>29</v>
      </c>
      <c r="AY91" s="98">
        <v>5</v>
      </c>
      <c r="AZ91" s="42">
        <v>1800</v>
      </c>
      <c r="BA91" s="42">
        <v>1260</v>
      </c>
      <c r="BB91" s="42">
        <v>810</v>
      </c>
      <c r="BC91" s="42" t="s">
        <v>29</v>
      </c>
      <c r="BD91" s="42" t="s">
        <v>29</v>
      </c>
    </row>
    <row r="92" spans="1:56" x14ac:dyDescent="0.3">
      <c r="A92" s="110"/>
      <c r="B92" s="110"/>
      <c r="C92" s="68">
        <v>6</v>
      </c>
      <c r="D92" s="42">
        <v>24</v>
      </c>
      <c r="E92" s="42">
        <v>15</v>
      </c>
      <c r="F92" s="42">
        <v>12</v>
      </c>
      <c r="G92" s="42">
        <v>6</v>
      </c>
      <c r="H92" s="42" t="s">
        <v>29</v>
      </c>
      <c r="I92" s="41"/>
      <c r="J92" s="41"/>
      <c r="K92" s="68">
        <v>6</v>
      </c>
      <c r="L92" s="42">
        <v>48</v>
      </c>
      <c r="M92" s="42">
        <v>35</v>
      </c>
      <c r="N92" s="42">
        <v>24</v>
      </c>
      <c r="O92" s="42">
        <v>15</v>
      </c>
      <c r="P92" s="42" t="s">
        <v>29</v>
      </c>
      <c r="S92" s="98">
        <v>6</v>
      </c>
      <c r="T92" s="42">
        <v>120</v>
      </c>
      <c r="U92" s="42">
        <v>85</v>
      </c>
      <c r="V92" s="42">
        <v>60</v>
      </c>
      <c r="W92" s="42">
        <v>36</v>
      </c>
      <c r="X92" s="42" t="s">
        <v>29</v>
      </c>
      <c r="AA92" s="98">
        <v>6</v>
      </c>
      <c r="AB92" s="42">
        <v>360</v>
      </c>
      <c r="AC92" s="42">
        <v>260</v>
      </c>
      <c r="AD92" s="42">
        <v>180</v>
      </c>
      <c r="AE92" s="42">
        <v>111</v>
      </c>
      <c r="AF92" s="42" t="s">
        <v>29</v>
      </c>
      <c r="AI92" s="98">
        <v>6</v>
      </c>
      <c r="AJ92" s="42">
        <v>996</v>
      </c>
      <c r="AK92" s="42">
        <v>725</v>
      </c>
      <c r="AL92" s="42">
        <v>500</v>
      </c>
      <c r="AM92" s="42">
        <v>312</v>
      </c>
      <c r="AN92" s="42" t="s">
        <v>29</v>
      </c>
      <c r="AQ92" s="98">
        <v>6</v>
      </c>
      <c r="AR92" s="42">
        <v>1398</v>
      </c>
      <c r="AS92" s="42">
        <v>1020</v>
      </c>
      <c r="AT92" s="42">
        <v>700</v>
      </c>
      <c r="AU92" s="42">
        <v>435</v>
      </c>
      <c r="AV92" s="42" t="s">
        <v>29</v>
      </c>
      <c r="AY92" s="98">
        <v>6</v>
      </c>
      <c r="AZ92" s="42">
        <v>1800</v>
      </c>
      <c r="BA92" s="42">
        <v>1310</v>
      </c>
      <c r="BB92" s="42">
        <v>900</v>
      </c>
      <c r="BC92" s="42">
        <v>561</v>
      </c>
      <c r="BD92" s="42" t="s">
        <v>29</v>
      </c>
    </row>
    <row r="93" spans="1:56" x14ac:dyDescent="0.3">
      <c r="A93" s="110"/>
      <c r="B93" s="110"/>
      <c r="C93" s="68">
        <v>7</v>
      </c>
      <c r="D93" s="42">
        <v>21</v>
      </c>
      <c r="E93" s="42">
        <v>18</v>
      </c>
      <c r="F93" s="42">
        <v>10</v>
      </c>
      <c r="G93" s="42">
        <v>8</v>
      </c>
      <c r="H93" s="42" t="s">
        <v>29</v>
      </c>
      <c r="I93" s="41"/>
      <c r="J93" s="41"/>
      <c r="K93" s="68">
        <v>7</v>
      </c>
      <c r="L93" s="42">
        <v>42</v>
      </c>
      <c r="M93" s="42">
        <v>36</v>
      </c>
      <c r="N93" s="42">
        <v>25</v>
      </c>
      <c r="O93" s="42">
        <v>16</v>
      </c>
      <c r="P93" s="42" t="s">
        <v>29</v>
      </c>
      <c r="S93" s="98">
        <v>7</v>
      </c>
      <c r="T93" s="42">
        <v>119</v>
      </c>
      <c r="U93" s="42">
        <v>90</v>
      </c>
      <c r="V93" s="42">
        <v>60</v>
      </c>
      <c r="W93" s="42">
        <v>40</v>
      </c>
      <c r="X93" s="42" t="s">
        <v>29</v>
      </c>
      <c r="AA93" s="98">
        <v>7</v>
      </c>
      <c r="AB93" s="42">
        <v>357</v>
      </c>
      <c r="AC93" s="42">
        <v>270</v>
      </c>
      <c r="AD93" s="42">
        <v>190</v>
      </c>
      <c r="AE93" s="42">
        <v>128</v>
      </c>
      <c r="AF93" s="42" t="s">
        <v>29</v>
      </c>
      <c r="AI93" s="98">
        <v>7</v>
      </c>
      <c r="AJ93" s="42">
        <v>994</v>
      </c>
      <c r="AK93" s="42">
        <v>750</v>
      </c>
      <c r="AL93" s="42">
        <v>535</v>
      </c>
      <c r="AM93" s="42">
        <v>356</v>
      </c>
      <c r="AN93" s="42" t="s">
        <v>29</v>
      </c>
      <c r="AQ93" s="98">
        <v>7</v>
      </c>
      <c r="AR93" s="42">
        <v>1400</v>
      </c>
      <c r="AS93" s="42">
        <v>1050</v>
      </c>
      <c r="AT93" s="42">
        <v>750</v>
      </c>
      <c r="AU93" s="42">
        <v>500</v>
      </c>
      <c r="AV93" s="42" t="s">
        <v>29</v>
      </c>
      <c r="AY93" s="98">
        <v>7</v>
      </c>
      <c r="AZ93" s="42">
        <v>1799</v>
      </c>
      <c r="BA93" s="42">
        <v>1350</v>
      </c>
      <c r="BB93" s="42">
        <v>960</v>
      </c>
      <c r="BC93" s="42">
        <v>640</v>
      </c>
      <c r="BD93" s="42" t="s">
        <v>29</v>
      </c>
    </row>
    <row r="94" spans="1:56" x14ac:dyDescent="0.3">
      <c r="A94" s="110"/>
      <c r="B94" s="110"/>
      <c r="C94" s="68">
        <v>8</v>
      </c>
      <c r="D94" s="42">
        <v>24</v>
      </c>
      <c r="E94" s="42">
        <v>14</v>
      </c>
      <c r="F94" s="42">
        <v>12</v>
      </c>
      <c r="G94" s="42">
        <v>5</v>
      </c>
      <c r="H94" s="42">
        <v>4</v>
      </c>
      <c r="I94" s="41"/>
      <c r="J94" s="41"/>
      <c r="K94" s="68">
        <v>8</v>
      </c>
      <c r="L94" s="42">
        <v>48</v>
      </c>
      <c r="M94" s="42">
        <v>35</v>
      </c>
      <c r="N94" s="42">
        <v>24</v>
      </c>
      <c r="O94" s="42">
        <v>15</v>
      </c>
      <c r="P94" s="42">
        <v>12</v>
      </c>
      <c r="S94" s="98">
        <v>8</v>
      </c>
      <c r="T94" s="42">
        <v>120</v>
      </c>
      <c r="U94" s="42">
        <v>91</v>
      </c>
      <c r="V94" s="42">
        <v>66</v>
      </c>
      <c r="W94" s="42">
        <v>45</v>
      </c>
      <c r="X94" s="42">
        <v>28</v>
      </c>
      <c r="AA94" s="98">
        <v>8</v>
      </c>
      <c r="AB94" s="42">
        <v>360</v>
      </c>
      <c r="AC94" s="42">
        <v>273</v>
      </c>
      <c r="AD94" s="42">
        <v>198</v>
      </c>
      <c r="AE94" s="42">
        <v>140</v>
      </c>
      <c r="AF94" s="42">
        <v>88</v>
      </c>
      <c r="AI94" s="98">
        <v>8</v>
      </c>
      <c r="AJ94" s="42">
        <v>1000</v>
      </c>
      <c r="AK94" s="42">
        <v>763</v>
      </c>
      <c r="AL94" s="42">
        <v>558</v>
      </c>
      <c r="AM94" s="42">
        <v>390</v>
      </c>
      <c r="AN94" s="42">
        <v>248</v>
      </c>
      <c r="AQ94" s="98">
        <v>8</v>
      </c>
      <c r="AR94" s="42">
        <v>1400</v>
      </c>
      <c r="AS94" s="42">
        <v>1071</v>
      </c>
      <c r="AT94" s="42">
        <v>786</v>
      </c>
      <c r="AU94" s="42">
        <v>545</v>
      </c>
      <c r="AV94" s="42">
        <v>348</v>
      </c>
      <c r="AY94" s="98">
        <v>8</v>
      </c>
      <c r="AZ94" s="42">
        <v>1800</v>
      </c>
      <c r="BA94" s="42">
        <v>1372</v>
      </c>
      <c r="BB94" s="42">
        <v>1008</v>
      </c>
      <c r="BC94" s="42">
        <v>700</v>
      </c>
      <c r="BD94" s="42">
        <v>448</v>
      </c>
    </row>
    <row r="95" spans="1:56" x14ac:dyDescent="0.3">
      <c r="A95" s="110"/>
      <c r="B95" s="110"/>
      <c r="C95" s="68">
        <v>9</v>
      </c>
      <c r="D95" s="42">
        <v>18</v>
      </c>
      <c r="E95" s="42">
        <v>16</v>
      </c>
      <c r="F95" s="42">
        <v>14</v>
      </c>
      <c r="G95" s="42">
        <v>6</v>
      </c>
      <c r="H95" s="42">
        <v>5</v>
      </c>
      <c r="I95" s="41"/>
      <c r="J95" s="41"/>
      <c r="K95" s="68">
        <v>9</v>
      </c>
      <c r="L95" s="42">
        <v>45</v>
      </c>
      <c r="M95" s="42">
        <v>32</v>
      </c>
      <c r="N95" s="42">
        <v>28</v>
      </c>
      <c r="O95" s="42">
        <v>18</v>
      </c>
      <c r="P95" s="42">
        <v>10</v>
      </c>
      <c r="S95" s="98">
        <v>9</v>
      </c>
      <c r="T95" s="42">
        <v>117</v>
      </c>
      <c r="U95" s="42">
        <v>88</v>
      </c>
      <c r="V95" s="42">
        <v>70</v>
      </c>
      <c r="W95" s="42">
        <v>48</v>
      </c>
      <c r="X95" s="42">
        <v>30</v>
      </c>
      <c r="AA95" s="98">
        <v>9</v>
      </c>
      <c r="AB95" s="42">
        <v>360</v>
      </c>
      <c r="AC95" s="42">
        <v>280</v>
      </c>
      <c r="AD95" s="42">
        <v>210</v>
      </c>
      <c r="AE95" s="42">
        <v>150</v>
      </c>
      <c r="AF95" s="42">
        <v>100</v>
      </c>
      <c r="AI95" s="98">
        <v>9</v>
      </c>
      <c r="AJ95" s="42">
        <v>999</v>
      </c>
      <c r="AK95" s="42">
        <v>776</v>
      </c>
      <c r="AL95" s="42">
        <v>581</v>
      </c>
      <c r="AM95" s="42">
        <v>414</v>
      </c>
      <c r="AN95" s="42">
        <v>275</v>
      </c>
      <c r="AQ95" s="98">
        <v>9</v>
      </c>
      <c r="AR95" s="42">
        <v>1395</v>
      </c>
      <c r="AS95" s="42">
        <v>1088</v>
      </c>
      <c r="AT95" s="42">
        <v>812</v>
      </c>
      <c r="AU95" s="42">
        <v>582</v>
      </c>
      <c r="AV95" s="42">
        <v>385</v>
      </c>
      <c r="AY95" s="98">
        <v>9</v>
      </c>
      <c r="AZ95" s="42">
        <v>1800</v>
      </c>
      <c r="BA95" s="42">
        <v>1400</v>
      </c>
      <c r="BB95" s="42">
        <v>1050</v>
      </c>
      <c r="BC95" s="42">
        <v>750</v>
      </c>
      <c r="BD95" s="42">
        <v>500</v>
      </c>
    </row>
    <row r="97" spans="1:56" ht="15" x14ac:dyDescent="0.25">
      <c r="D97" s="109" t="s">
        <v>31</v>
      </c>
      <c r="E97" s="109"/>
      <c r="F97" s="109"/>
      <c r="G97" s="109"/>
      <c r="H97" s="109"/>
      <c r="L97" s="109" t="s">
        <v>30</v>
      </c>
      <c r="M97" s="109"/>
      <c r="N97" s="109"/>
      <c r="O97" s="109"/>
      <c r="P97" s="109"/>
      <c r="T97" s="109" t="s">
        <v>32</v>
      </c>
      <c r="U97" s="109"/>
      <c r="V97" s="109"/>
      <c r="W97" s="109"/>
      <c r="X97" s="109"/>
      <c r="AB97" s="109" t="s">
        <v>33</v>
      </c>
      <c r="AC97" s="109"/>
      <c r="AD97" s="109"/>
      <c r="AE97" s="109"/>
      <c r="AF97" s="109"/>
      <c r="AJ97" s="109" t="s">
        <v>34</v>
      </c>
      <c r="AK97" s="109"/>
      <c r="AL97" s="109"/>
      <c r="AM97" s="109"/>
      <c r="AN97" s="109"/>
      <c r="AR97" s="109" t="s">
        <v>35</v>
      </c>
      <c r="AS97" s="109"/>
      <c r="AT97" s="109"/>
      <c r="AU97" s="109"/>
      <c r="AV97" s="109"/>
      <c r="AZ97" s="109" t="s">
        <v>36</v>
      </c>
      <c r="BA97" s="109"/>
      <c r="BB97" s="109"/>
      <c r="BC97" s="109"/>
      <c r="BD97" s="109"/>
    </row>
    <row r="98" spans="1:56" ht="15" x14ac:dyDescent="0.25">
      <c r="C98" s="47"/>
      <c r="D98" s="68">
        <v>0</v>
      </c>
      <c r="E98" s="68">
        <v>1</v>
      </c>
      <c r="F98" s="68">
        <v>2</v>
      </c>
      <c r="G98" s="68">
        <v>3</v>
      </c>
      <c r="H98" s="68">
        <v>4</v>
      </c>
      <c r="K98" s="47"/>
      <c r="L98" s="68">
        <v>0</v>
      </c>
      <c r="M98" s="68">
        <v>1</v>
      </c>
      <c r="N98" s="68">
        <v>2</v>
      </c>
      <c r="O98" s="68">
        <v>3</v>
      </c>
      <c r="P98" s="68">
        <v>4</v>
      </c>
      <c r="S98" s="47"/>
      <c r="T98" s="98">
        <v>0</v>
      </c>
      <c r="U98" s="98">
        <v>1</v>
      </c>
      <c r="V98" s="98">
        <v>2</v>
      </c>
      <c r="W98" s="98">
        <v>3</v>
      </c>
      <c r="X98" s="98">
        <v>4</v>
      </c>
      <c r="AA98" s="47"/>
      <c r="AB98" s="98">
        <v>0</v>
      </c>
      <c r="AC98" s="98">
        <v>1</v>
      </c>
      <c r="AD98" s="98">
        <v>2</v>
      </c>
      <c r="AE98" s="98">
        <v>3</v>
      </c>
      <c r="AF98" s="98">
        <v>4</v>
      </c>
      <c r="AI98" s="47"/>
      <c r="AJ98" s="98">
        <v>0</v>
      </c>
      <c r="AK98" s="98">
        <v>1</v>
      </c>
      <c r="AL98" s="98">
        <v>2</v>
      </c>
      <c r="AM98" s="98">
        <v>3</v>
      </c>
      <c r="AN98" s="98">
        <v>4</v>
      </c>
      <c r="AQ98" s="47"/>
      <c r="AR98" s="98">
        <v>0</v>
      </c>
      <c r="AS98" s="98">
        <v>1</v>
      </c>
      <c r="AT98" s="98">
        <v>2</v>
      </c>
      <c r="AU98" s="98">
        <v>3</v>
      </c>
      <c r="AV98" s="98">
        <v>4</v>
      </c>
      <c r="AY98" s="47"/>
      <c r="AZ98" s="98">
        <v>0</v>
      </c>
      <c r="BA98" s="98">
        <v>1</v>
      </c>
      <c r="BB98" s="98">
        <v>2</v>
      </c>
      <c r="BC98" s="98">
        <v>3</v>
      </c>
      <c r="BD98" s="98">
        <v>4</v>
      </c>
    </row>
    <row r="99" spans="1:56" x14ac:dyDescent="0.3">
      <c r="A99" s="110">
        <v>9</v>
      </c>
      <c r="B99" s="110"/>
      <c r="C99" s="68">
        <v>1</v>
      </c>
      <c r="D99" s="42">
        <v>28</v>
      </c>
      <c r="E99" s="42" t="s">
        <v>29</v>
      </c>
      <c r="F99" s="42" t="s">
        <v>29</v>
      </c>
      <c r="G99" s="42" t="s">
        <v>29</v>
      </c>
      <c r="H99" s="42" t="s">
        <v>29</v>
      </c>
      <c r="K99" s="68">
        <v>1</v>
      </c>
      <c r="L99" s="42">
        <v>56</v>
      </c>
      <c r="M99" s="42" t="s">
        <v>29</v>
      </c>
      <c r="N99" s="42" t="s">
        <v>29</v>
      </c>
      <c r="O99" s="42" t="s">
        <v>29</v>
      </c>
      <c r="P99" s="42" t="s">
        <v>29</v>
      </c>
      <c r="S99" s="98">
        <v>1</v>
      </c>
      <c r="T99" s="42">
        <v>140</v>
      </c>
      <c r="U99" s="42" t="s">
        <v>29</v>
      </c>
      <c r="V99" s="42" t="s">
        <v>29</v>
      </c>
      <c r="W99" s="42" t="s">
        <v>29</v>
      </c>
      <c r="X99" s="42" t="s">
        <v>29</v>
      </c>
      <c r="AA99" s="98">
        <v>1</v>
      </c>
      <c r="AB99" s="42">
        <v>400</v>
      </c>
      <c r="AC99" s="42" t="s">
        <v>29</v>
      </c>
      <c r="AD99" s="42" t="s">
        <v>29</v>
      </c>
      <c r="AE99" s="42" t="s">
        <v>29</v>
      </c>
      <c r="AF99" s="42" t="s">
        <v>29</v>
      </c>
      <c r="AI99" s="98">
        <v>1</v>
      </c>
      <c r="AJ99" s="42">
        <v>1100</v>
      </c>
      <c r="AK99" s="42" t="s">
        <v>29</v>
      </c>
      <c r="AL99" s="42" t="s">
        <v>29</v>
      </c>
      <c r="AM99" s="42" t="s">
        <v>29</v>
      </c>
      <c r="AN99" s="42" t="s">
        <v>29</v>
      </c>
      <c r="AQ99" s="98">
        <v>1</v>
      </c>
      <c r="AR99" s="42">
        <v>1500</v>
      </c>
      <c r="AS99" s="42" t="s">
        <v>29</v>
      </c>
      <c r="AT99" s="42" t="s">
        <v>29</v>
      </c>
      <c r="AU99" s="42" t="s">
        <v>29</v>
      </c>
      <c r="AV99" s="42" t="s">
        <v>29</v>
      </c>
      <c r="AY99" s="98">
        <v>1</v>
      </c>
      <c r="AZ99" s="42">
        <v>1900</v>
      </c>
      <c r="BA99" s="42" t="s">
        <v>29</v>
      </c>
      <c r="BB99" s="42" t="s">
        <v>29</v>
      </c>
      <c r="BC99" s="42" t="s">
        <v>29</v>
      </c>
      <c r="BD99" s="42" t="s">
        <v>29</v>
      </c>
    </row>
    <row r="100" spans="1:56" x14ac:dyDescent="0.3">
      <c r="A100" s="110"/>
      <c r="B100" s="110"/>
      <c r="C100" s="68">
        <v>2</v>
      </c>
      <c r="D100" s="42">
        <v>28</v>
      </c>
      <c r="E100" s="42">
        <v>12</v>
      </c>
      <c r="F100" s="42" t="s">
        <v>29</v>
      </c>
      <c r="G100" s="42" t="s">
        <v>29</v>
      </c>
      <c r="H100" s="42" t="s">
        <v>29</v>
      </c>
      <c r="I100" s="4"/>
      <c r="J100" s="4"/>
      <c r="K100" s="68">
        <v>2</v>
      </c>
      <c r="L100" s="42">
        <v>56</v>
      </c>
      <c r="M100" s="42">
        <v>24</v>
      </c>
      <c r="N100" s="42" t="s">
        <v>29</v>
      </c>
      <c r="O100" s="42" t="s">
        <v>29</v>
      </c>
      <c r="P100" s="42" t="s">
        <v>29</v>
      </c>
      <c r="S100" s="98">
        <v>2</v>
      </c>
      <c r="T100" s="42">
        <v>140</v>
      </c>
      <c r="U100" s="42">
        <v>61</v>
      </c>
      <c r="V100" s="42" t="s">
        <v>29</v>
      </c>
      <c r="W100" s="42" t="s">
        <v>29</v>
      </c>
      <c r="X100" s="42" t="s">
        <v>29</v>
      </c>
      <c r="AA100" s="98">
        <v>2</v>
      </c>
      <c r="AB100" s="42">
        <v>400</v>
      </c>
      <c r="AC100" s="42">
        <v>175</v>
      </c>
      <c r="AD100" s="42" t="s">
        <v>29</v>
      </c>
      <c r="AE100" s="42" t="s">
        <v>29</v>
      </c>
      <c r="AF100" s="42" t="s">
        <v>29</v>
      </c>
      <c r="AI100" s="98">
        <v>2</v>
      </c>
      <c r="AJ100" s="42">
        <v>1100</v>
      </c>
      <c r="AK100" s="42">
        <v>481</v>
      </c>
      <c r="AL100" s="42" t="s">
        <v>29</v>
      </c>
      <c r="AM100" s="42" t="s">
        <v>29</v>
      </c>
      <c r="AN100" s="42" t="s">
        <v>29</v>
      </c>
      <c r="AQ100" s="98">
        <v>2</v>
      </c>
      <c r="AR100" s="42">
        <v>1500</v>
      </c>
      <c r="AS100" s="42">
        <v>656</v>
      </c>
      <c r="AT100" s="42" t="s">
        <v>29</v>
      </c>
      <c r="AU100" s="42" t="s">
        <v>29</v>
      </c>
      <c r="AV100" s="42" t="s">
        <v>29</v>
      </c>
      <c r="AY100" s="98">
        <v>2</v>
      </c>
      <c r="AZ100" s="42">
        <v>1900</v>
      </c>
      <c r="BA100" s="42">
        <v>831</v>
      </c>
      <c r="BB100" s="42" t="s">
        <v>29</v>
      </c>
      <c r="BC100" s="42" t="s">
        <v>29</v>
      </c>
      <c r="BD100" s="42" t="s">
        <v>29</v>
      </c>
    </row>
    <row r="101" spans="1:56" x14ac:dyDescent="0.3">
      <c r="A101" s="110"/>
      <c r="B101" s="110"/>
      <c r="C101" s="68">
        <v>3</v>
      </c>
      <c r="D101" s="42">
        <v>27</v>
      </c>
      <c r="E101" s="42">
        <v>16</v>
      </c>
      <c r="F101" s="42" t="s">
        <v>29</v>
      </c>
      <c r="G101" s="42" t="s">
        <v>29</v>
      </c>
      <c r="H101" s="42" t="s">
        <v>29</v>
      </c>
      <c r="I101" s="4"/>
      <c r="J101" s="4"/>
      <c r="K101" s="68">
        <v>3</v>
      </c>
      <c r="L101" s="42">
        <v>54</v>
      </c>
      <c r="M101" s="42">
        <v>32</v>
      </c>
      <c r="N101" s="42" t="s">
        <v>29</v>
      </c>
      <c r="O101" s="42" t="s">
        <v>29</v>
      </c>
      <c r="P101" s="42" t="s">
        <v>29</v>
      </c>
      <c r="S101" s="98">
        <v>3</v>
      </c>
      <c r="T101" s="42">
        <v>138</v>
      </c>
      <c r="U101" s="42">
        <v>80</v>
      </c>
      <c r="V101" s="42" t="s">
        <v>29</v>
      </c>
      <c r="W101" s="42" t="s">
        <v>29</v>
      </c>
      <c r="X101" s="42" t="s">
        <v>29</v>
      </c>
      <c r="AA101" s="98">
        <v>3</v>
      </c>
      <c r="AB101" s="42">
        <v>399</v>
      </c>
      <c r="AC101" s="42">
        <v>232</v>
      </c>
      <c r="AD101" s="42" t="s">
        <v>29</v>
      </c>
      <c r="AE101" s="42" t="s">
        <v>29</v>
      </c>
      <c r="AF101" s="42" t="s">
        <v>29</v>
      </c>
      <c r="AI101" s="98">
        <v>3</v>
      </c>
      <c r="AJ101" s="42">
        <v>1098</v>
      </c>
      <c r="AK101" s="42">
        <v>640</v>
      </c>
      <c r="AL101" s="42" t="s">
        <v>29</v>
      </c>
      <c r="AM101" s="42" t="s">
        <v>29</v>
      </c>
      <c r="AN101" s="42" t="s">
        <v>29</v>
      </c>
      <c r="AQ101" s="98">
        <v>3</v>
      </c>
      <c r="AR101" s="42">
        <v>1500</v>
      </c>
      <c r="AS101" s="42">
        <v>874</v>
      </c>
      <c r="AT101" s="42" t="s">
        <v>29</v>
      </c>
      <c r="AU101" s="42" t="s">
        <v>29</v>
      </c>
      <c r="AV101" s="42" t="s">
        <v>29</v>
      </c>
      <c r="AY101" s="98">
        <v>3</v>
      </c>
      <c r="AZ101" s="42">
        <v>1899</v>
      </c>
      <c r="BA101" s="42">
        <v>1108</v>
      </c>
      <c r="BB101" s="42" t="s">
        <v>29</v>
      </c>
      <c r="BC101" s="42" t="s">
        <v>29</v>
      </c>
      <c r="BD101" s="42" t="s">
        <v>29</v>
      </c>
    </row>
    <row r="102" spans="1:56" x14ac:dyDescent="0.3">
      <c r="A102" s="110"/>
      <c r="B102" s="110"/>
      <c r="C102" s="68">
        <v>4</v>
      </c>
      <c r="D102" s="42">
        <v>28</v>
      </c>
      <c r="E102" s="42">
        <v>18</v>
      </c>
      <c r="F102" s="42">
        <v>10</v>
      </c>
      <c r="G102" s="42" t="s">
        <v>29</v>
      </c>
      <c r="H102" s="42" t="s">
        <v>29</v>
      </c>
      <c r="I102" s="41"/>
      <c r="J102" s="41"/>
      <c r="K102" s="68">
        <v>4</v>
      </c>
      <c r="L102" s="42">
        <v>56</v>
      </c>
      <c r="M102" s="42">
        <v>36</v>
      </c>
      <c r="N102" s="42">
        <v>20</v>
      </c>
      <c r="O102" s="42" t="s">
        <v>29</v>
      </c>
      <c r="P102" s="42" t="s">
        <v>29</v>
      </c>
      <c r="S102" s="98">
        <v>4</v>
      </c>
      <c r="T102" s="42">
        <v>140</v>
      </c>
      <c r="U102" s="42">
        <v>90</v>
      </c>
      <c r="V102" s="42">
        <v>52</v>
      </c>
      <c r="W102" s="42" t="s">
        <v>29</v>
      </c>
      <c r="X102" s="42" t="s">
        <v>29</v>
      </c>
      <c r="AA102" s="98">
        <v>4</v>
      </c>
      <c r="AB102" s="42">
        <v>400</v>
      </c>
      <c r="AC102" s="42">
        <v>261</v>
      </c>
      <c r="AD102" s="42">
        <v>150</v>
      </c>
      <c r="AE102" s="42" t="s">
        <v>29</v>
      </c>
      <c r="AF102" s="42" t="s">
        <v>29</v>
      </c>
      <c r="AI102" s="98">
        <v>4</v>
      </c>
      <c r="AJ102" s="42">
        <v>1100</v>
      </c>
      <c r="AK102" s="42">
        <v>720</v>
      </c>
      <c r="AL102" s="42">
        <v>412</v>
      </c>
      <c r="AM102" s="42" t="s">
        <v>29</v>
      </c>
      <c r="AN102" s="42" t="s">
        <v>29</v>
      </c>
      <c r="AQ102" s="98">
        <v>4</v>
      </c>
      <c r="AR102" s="42">
        <v>1500</v>
      </c>
      <c r="AS102" s="42">
        <v>984</v>
      </c>
      <c r="AT102" s="42">
        <v>562</v>
      </c>
      <c r="AU102" s="42" t="s">
        <v>29</v>
      </c>
      <c r="AV102" s="42" t="s">
        <v>29</v>
      </c>
      <c r="AY102" s="98">
        <v>4</v>
      </c>
      <c r="AZ102" s="42">
        <v>1900</v>
      </c>
      <c r="BA102" s="42">
        <v>1245</v>
      </c>
      <c r="BB102" s="42">
        <v>712</v>
      </c>
      <c r="BC102" s="42" t="s">
        <v>29</v>
      </c>
      <c r="BD102" s="42" t="s">
        <v>29</v>
      </c>
    </row>
    <row r="103" spans="1:56" x14ac:dyDescent="0.3">
      <c r="A103" s="110"/>
      <c r="B103" s="110"/>
      <c r="C103" s="68">
        <v>5</v>
      </c>
      <c r="D103" s="42">
        <v>25</v>
      </c>
      <c r="E103" s="42">
        <v>16</v>
      </c>
      <c r="F103" s="42">
        <v>12</v>
      </c>
      <c r="G103" s="42" t="s">
        <v>29</v>
      </c>
      <c r="H103" s="42" t="s">
        <v>29</v>
      </c>
      <c r="I103" s="41"/>
      <c r="J103" s="41"/>
      <c r="K103" s="68">
        <v>5</v>
      </c>
      <c r="L103" s="42">
        <v>55</v>
      </c>
      <c r="M103" s="42">
        <v>36</v>
      </c>
      <c r="N103" s="42">
        <v>24</v>
      </c>
      <c r="O103" s="42" t="s">
        <v>29</v>
      </c>
      <c r="P103" s="42" t="s">
        <v>29</v>
      </c>
      <c r="S103" s="98">
        <v>5</v>
      </c>
      <c r="T103" s="42">
        <v>140</v>
      </c>
      <c r="U103" s="42">
        <v>96</v>
      </c>
      <c r="V103" s="42">
        <v>63</v>
      </c>
      <c r="W103" s="42" t="s">
        <v>29</v>
      </c>
      <c r="X103" s="42" t="s">
        <v>29</v>
      </c>
      <c r="AA103" s="98">
        <v>5</v>
      </c>
      <c r="AB103" s="42">
        <v>400</v>
      </c>
      <c r="AC103" s="42">
        <v>280</v>
      </c>
      <c r="AD103" s="42">
        <v>180</v>
      </c>
      <c r="AE103" s="42" t="s">
        <v>29</v>
      </c>
      <c r="AF103" s="42" t="s">
        <v>29</v>
      </c>
      <c r="AI103" s="98">
        <v>5</v>
      </c>
      <c r="AJ103" s="42">
        <v>1100</v>
      </c>
      <c r="AK103" s="42">
        <v>768</v>
      </c>
      <c r="AL103" s="42">
        <v>495</v>
      </c>
      <c r="AM103" s="42" t="s">
        <v>29</v>
      </c>
      <c r="AN103" s="42" t="s">
        <v>29</v>
      </c>
      <c r="AQ103" s="98">
        <v>5</v>
      </c>
      <c r="AR103" s="42">
        <v>1500</v>
      </c>
      <c r="AS103" s="42">
        <v>1048</v>
      </c>
      <c r="AT103" s="42">
        <v>675</v>
      </c>
      <c r="AU103" s="42" t="s">
        <v>29</v>
      </c>
      <c r="AV103" s="42" t="s">
        <v>29</v>
      </c>
      <c r="AY103" s="98">
        <v>5</v>
      </c>
      <c r="AZ103" s="42">
        <v>1900</v>
      </c>
      <c r="BA103" s="42">
        <v>1328</v>
      </c>
      <c r="BB103" s="42">
        <v>855</v>
      </c>
      <c r="BC103" s="42" t="s">
        <v>29</v>
      </c>
      <c r="BD103" s="42" t="s">
        <v>29</v>
      </c>
    </row>
    <row r="104" spans="1:56" x14ac:dyDescent="0.3">
      <c r="A104" s="110"/>
      <c r="B104" s="110"/>
      <c r="C104" s="68">
        <v>6</v>
      </c>
      <c r="D104" s="42">
        <v>24</v>
      </c>
      <c r="E104" s="42">
        <v>20</v>
      </c>
      <c r="F104" s="42">
        <v>12</v>
      </c>
      <c r="G104" s="42">
        <v>6</v>
      </c>
      <c r="H104" s="42" t="s">
        <v>29</v>
      </c>
      <c r="I104" s="41"/>
      <c r="J104" s="41"/>
      <c r="K104" s="68">
        <v>6</v>
      </c>
      <c r="L104" s="42">
        <v>54</v>
      </c>
      <c r="M104" s="42">
        <v>40</v>
      </c>
      <c r="N104" s="42">
        <v>28</v>
      </c>
      <c r="O104" s="42">
        <v>15</v>
      </c>
      <c r="P104" s="42" t="s">
        <v>29</v>
      </c>
      <c r="S104" s="98">
        <v>6</v>
      </c>
      <c r="T104" s="42">
        <v>138</v>
      </c>
      <c r="U104" s="42">
        <v>100</v>
      </c>
      <c r="V104" s="42">
        <v>68</v>
      </c>
      <c r="W104" s="42">
        <v>42</v>
      </c>
      <c r="X104" s="42" t="s">
        <v>29</v>
      </c>
      <c r="AA104" s="98">
        <v>6</v>
      </c>
      <c r="AB104" s="42">
        <v>396</v>
      </c>
      <c r="AC104" s="42">
        <v>290</v>
      </c>
      <c r="AD104" s="42">
        <v>200</v>
      </c>
      <c r="AE104" s="42">
        <v>123</v>
      </c>
      <c r="AF104" s="42" t="s">
        <v>29</v>
      </c>
      <c r="AI104" s="98">
        <v>6</v>
      </c>
      <c r="AJ104" s="42">
        <v>1098</v>
      </c>
      <c r="AK104" s="42">
        <v>800</v>
      </c>
      <c r="AL104" s="42">
        <v>548</v>
      </c>
      <c r="AM104" s="42">
        <v>342</v>
      </c>
      <c r="AN104" s="42" t="s">
        <v>29</v>
      </c>
      <c r="AQ104" s="98">
        <v>6</v>
      </c>
      <c r="AR104" s="42">
        <v>1500</v>
      </c>
      <c r="AS104" s="42">
        <v>1090</v>
      </c>
      <c r="AT104" s="42">
        <v>748</v>
      </c>
      <c r="AU104" s="42">
        <v>468</v>
      </c>
      <c r="AV104" s="42" t="s">
        <v>29</v>
      </c>
      <c r="AY104" s="98">
        <v>6</v>
      </c>
      <c r="AZ104" s="42">
        <v>1896</v>
      </c>
      <c r="BA104" s="42">
        <v>1385</v>
      </c>
      <c r="BB104" s="42">
        <v>948</v>
      </c>
      <c r="BC104" s="42">
        <v>591</v>
      </c>
      <c r="BD104" s="42" t="s">
        <v>29</v>
      </c>
    </row>
    <row r="105" spans="1:56" x14ac:dyDescent="0.3">
      <c r="A105" s="110"/>
      <c r="B105" s="110"/>
      <c r="C105" s="68">
        <v>7</v>
      </c>
      <c r="D105" s="42">
        <v>28</v>
      </c>
      <c r="E105" s="42">
        <v>18</v>
      </c>
      <c r="F105" s="42">
        <v>15</v>
      </c>
      <c r="G105" s="42">
        <v>8</v>
      </c>
      <c r="H105" s="42" t="s">
        <v>29</v>
      </c>
      <c r="I105" s="41"/>
      <c r="J105" s="41"/>
      <c r="K105" s="68">
        <v>7</v>
      </c>
      <c r="L105" s="42">
        <v>56</v>
      </c>
      <c r="M105" s="42">
        <v>42</v>
      </c>
      <c r="N105" s="42">
        <v>30</v>
      </c>
      <c r="O105" s="42">
        <v>20</v>
      </c>
      <c r="P105" s="42" t="s">
        <v>29</v>
      </c>
      <c r="S105" s="98">
        <v>7</v>
      </c>
      <c r="T105" s="42">
        <v>140</v>
      </c>
      <c r="U105" s="42">
        <v>102</v>
      </c>
      <c r="V105" s="42">
        <v>75</v>
      </c>
      <c r="W105" s="42">
        <v>48</v>
      </c>
      <c r="X105" s="42" t="s">
        <v>29</v>
      </c>
      <c r="AA105" s="98">
        <v>7</v>
      </c>
      <c r="AB105" s="42">
        <v>399</v>
      </c>
      <c r="AC105" s="42">
        <v>300</v>
      </c>
      <c r="AD105" s="42">
        <v>210</v>
      </c>
      <c r="AE105" s="42">
        <v>140</v>
      </c>
      <c r="AF105" s="42" t="s">
        <v>29</v>
      </c>
      <c r="AI105" s="98">
        <v>7</v>
      </c>
      <c r="AJ105" s="42">
        <v>1099</v>
      </c>
      <c r="AK105" s="42">
        <v>822</v>
      </c>
      <c r="AL105" s="42">
        <v>585</v>
      </c>
      <c r="AM105" s="42">
        <v>392</v>
      </c>
      <c r="AN105" s="42" t="s">
        <v>29</v>
      </c>
      <c r="AQ105" s="98">
        <v>7</v>
      </c>
      <c r="AR105" s="42">
        <v>1498</v>
      </c>
      <c r="AS105" s="42">
        <v>1122</v>
      </c>
      <c r="AT105" s="42">
        <v>800</v>
      </c>
      <c r="AU105" s="42">
        <v>532</v>
      </c>
      <c r="AV105" s="42" t="s">
        <v>29</v>
      </c>
      <c r="AY105" s="98">
        <v>7</v>
      </c>
      <c r="AZ105" s="42">
        <v>1897</v>
      </c>
      <c r="BA105" s="42">
        <v>1422</v>
      </c>
      <c r="BB105" s="42">
        <v>1015</v>
      </c>
      <c r="BC105" s="42">
        <v>676</v>
      </c>
      <c r="BD105" s="42" t="s">
        <v>29</v>
      </c>
    </row>
    <row r="106" spans="1:56" x14ac:dyDescent="0.3">
      <c r="A106" s="110"/>
      <c r="B106" s="110"/>
      <c r="C106" s="68">
        <v>8</v>
      </c>
      <c r="D106" s="42">
        <v>24</v>
      </c>
      <c r="E106" s="42">
        <v>21</v>
      </c>
      <c r="F106" s="42">
        <v>12</v>
      </c>
      <c r="G106" s="42">
        <v>10</v>
      </c>
      <c r="H106" s="42">
        <v>4</v>
      </c>
      <c r="I106" s="41"/>
      <c r="J106" s="41"/>
      <c r="K106" s="68">
        <v>8</v>
      </c>
      <c r="L106" s="42">
        <v>56</v>
      </c>
      <c r="M106" s="42">
        <v>42</v>
      </c>
      <c r="N106" s="42">
        <v>30</v>
      </c>
      <c r="O106" s="42">
        <v>20</v>
      </c>
      <c r="P106" s="42">
        <v>12</v>
      </c>
      <c r="S106" s="98">
        <v>8</v>
      </c>
      <c r="T106" s="42">
        <v>136</v>
      </c>
      <c r="U106" s="42">
        <v>105</v>
      </c>
      <c r="V106" s="42">
        <v>78</v>
      </c>
      <c r="W106" s="42">
        <v>50</v>
      </c>
      <c r="X106" s="42">
        <v>32</v>
      </c>
      <c r="AA106" s="98">
        <v>8</v>
      </c>
      <c r="AB106" s="42">
        <v>400</v>
      </c>
      <c r="AC106" s="42">
        <v>301</v>
      </c>
      <c r="AD106" s="42">
        <v>222</v>
      </c>
      <c r="AE106" s="42">
        <v>155</v>
      </c>
      <c r="AF106" s="42">
        <v>100</v>
      </c>
      <c r="AI106" s="98">
        <v>8</v>
      </c>
      <c r="AJ106" s="42">
        <v>1096</v>
      </c>
      <c r="AK106" s="42">
        <v>840</v>
      </c>
      <c r="AL106" s="42">
        <v>618</v>
      </c>
      <c r="AM106" s="42">
        <v>425</v>
      </c>
      <c r="AN106" s="42">
        <v>272</v>
      </c>
      <c r="AQ106" s="98">
        <v>8</v>
      </c>
      <c r="AR106" s="42">
        <v>1496</v>
      </c>
      <c r="AS106" s="42">
        <v>1148</v>
      </c>
      <c r="AT106" s="42">
        <v>840</v>
      </c>
      <c r="AU106" s="42">
        <v>585</v>
      </c>
      <c r="AV106" s="42">
        <v>372</v>
      </c>
      <c r="AY106" s="98">
        <v>8</v>
      </c>
      <c r="AZ106" s="42">
        <v>1896</v>
      </c>
      <c r="BA106" s="42">
        <v>1449</v>
      </c>
      <c r="BB106" s="42">
        <v>1068</v>
      </c>
      <c r="BC106" s="42">
        <v>740</v>
      </c>
      <c r="BD106" s="42">
        <v>472</v>
      </c>
    </row>
    <row r="107" spans="1:56" x14ac:dyDescent="0.3">
      <c r="A107" s="110"/>
      <c r="B107" s="110"/>
      <c r="C107" s="68">
        <v>9</v>
      </c>
      <c r="D107" s="42">
        <v>27</v>
      </c>
      <c r="E107" s="42">
        <v>16</v>
      </c>
      <c r="F107" s="42">
        <v>14</v>
      </c>
      <c r="G107" s="42">
        <v>6</v>
      </c>
      <c r="H107" s="42">
        <v>5</v>
      </c>
      <c r="I107" s="41"/>
      <c r="J107" s="41"/>
      <c r="K107" s="68">
        <v>9</v>
      </c>
      <c r="L107" s="42">
        <v>54</v>
      </c>
      <c r="M107" s="42">
        <v>40</v>
      </c>
      <c r="N107" s="42">
        <v>28</v>
      </c>
      <c r="O107" s="42">
        <v>18</v>
      </c>
      <c r="P107" s="42">
        <v>15</v>
      </c>
      <c r="S107" s="98">
        <v>9</v>
      </c>
      <c r="T107" s="42">
        <v>135</v>
      </c>
      <c r="U107" s="42">
        <v>104</v>
      </c>
      <c r="V107" s="42">
        <v>77</v>
      </c>
      <c r="W107" s="42">
        <v>54</v>
      </c>
      <c r="X107" s="42">
        <v>35</v>
      </c>
      <c r="AA107" s="98">
        <v>9</v>
      </c>
      <c r="AB107" s="42">
        <v>396</v>
      </c>
      <c r="AC107" s="42">
        <v>304</v>
      </c>
      <c r="AD107" s="42">
        <v>231</v>
      </c>
      <c r="AE107" s="42">
        <v>162</v>
      </c>
      <c r="AF107" s="42">
        <v>110</v>
      </c>
      <c r="AI107" s="98">
        <v>9</v>
      </c>
      <c r="AJ107" s="42">
        <v>1098</v>
      </c>
      <c r="AK107" s="42">
        <v>848</v>
      </c>
      <c r="AL107" s="42">
        <v>637</v>
      </c>
      <c r="AM107" s="42">
        <v>456</v>
      </c>
      <c r="AN107" s="42">
        <v>305</v>
      </c>
      <c r="AQ107" s="98">
        <v>9</v>
      </c>
      <c r="AR107" s="42">
        <v>1494</v>
      </c>
      <c r="AS107" s="42">
        <v>1160</v>
      </c>
      <c r="AT107" s="42">
        <v>875</v>
      </c>
      <c r="AU107" s="42">
        <v>624</v>
      </c>
      <c r="AV107" s="42">
        <v>415</v>
      </c>
      <c r="AY107" s="98">
        <v>9</v>
      </c>
      <c r="AZ107" s="42">
        <v>1899</v>
      </c>
      <c r="BA107" s="42">
        <v>1472</v>
      </c>
      <c r="BB107" s="42">
        <v>1106</v>
      </c>
      <c r="BC107" s="42">
        <v>786</v>
      </c>
      <c r="BD107" s="42">
        <v>525</v>
      </c>
    </row>
    <row r="109" spans="1:56" ht="15" x14ac:dyDescent="0.25">
      <c r="D109" s="109" t="s">
        <v>31</v>
      </c>
      <c r="E109" s="109"/>
      <c r="F109" s="109"/>
      <c r="G109" s="109"/>
      <c r="H109" s="109"/>
      <c r="L109" s="109" t="s">
        <v>30</v>
      </c>
      <c r="M109" s="109"/>
      <c r="N109" s="109"/>
      <c r="O109" s="109"/>
      <c r="P109" s="109"/>
      <c r="T109" s="109" t="s">
        <v>32</v>
      </c>
      <c r="U109" s="109"/>
      <c r="V109" s="109"/>
      <c r="W109" s="109"/>
      <c r="X109" s="109"/>
      <c r="AB109" s="109" t="s">
        <v>33</v>
      </c>
      <c r="AC109" s="109"/>
      <c r="AD109" s="109"/>
      <c r="AE109" s="109"/>
      <c r="AF109" s="109"/>
      <c r="AJ109" s="109" t="s">
        <v>34</v>
      </c>
      <c r="AK109" s="109"/>
      <c r="AL109" s="109"/>
      <c r="AM109" s="109"/>
      <c r="AN109" s="109"/>
      <c r="AR109" s="109" t="s">
        <v>35</v>
      </c>
      <c r="AS109" s="109"/>
      <c r="AT109" s="109"/>
      <c r="AU109" s="109"/>
      <c r="AV109" s="109"/>
      <c r="AZ109" s="109" t="s">
        <v>36</v>
      </c>
      <c r="BA109" s="109"/>
      <c r="BB109" s="109"/>
      <c r="BC109" s="109"/>
      <c r="BD109" s="109"/>
    </row>
    <row r="110" spans="1:56" ht="15" x14ac:dyDescent="0.25">
      <c r="C110" s="47"/>
      <c r="D110" s="98">
        <v>0</v>
      </c>
      <c r="E110" s="98">
        <v>1</v>
      </c>
      <c r="F110" s="98">
        <v>2</v>
      </c>
      <c r="G110" s="98">
        <v>3</v>
      </c>
      <c r="H110" s="98">
        <v>4</v>
      </c>
      <c r="K110" s="47"/>
      <c r="L110" s="98">
        <v>0</v>
      </c>
      <c r="M110" s="98">
        <v>1</v>
      </c>
      <c r="N110" s="98">
        <v>2</v>
      </c>
      <c r="O110" s="98">
        <v>3</v>
      </c>
      <c r="P110" s="98">
        <v>4</v>
      </c>
      <c r="S110" s="47"/>
      <c r="T110" s="98">
        <v>0</v>
      </c>
      <c r="U110" s="98">
        <v>1</v>
      </c>
      <c r="V110" s="98">
        <v>2</v>
      </c>
      <c r="W110" s="98">
        <v>3</v>
      </c>
      <c r="X110" s="98">
        <v>4</v>
      </c>
      <c r="AA110" s="47"/>
      <c r="AB110" s="98">
        <v>0</v>
      </c>
      <c r="AC110" s="98">
        <v>1</v>
      </c>
      <c r="AD110" s="98">
        <v>2</v>
      </c>
      <c r="AE110" s="98">
        <v>3</v>
      </c>
      <c r="AF110" s="98">
        <v>4</v>
      </c>
      <c r="AI110" s="47"/>
      <c r="AJ110" s="98">
        <v>0</v>
      </c>
      <c r="AK110" s="98">
        <v>1</v>
      </c>
      <c r="AL110" s="98">
        <v>2</v>
      </c>
      <c r="AM110" s="98">
        <v>3</v>
      </c>
      <c r="AN110" s="98">
        <v>4</v>
      </c>
      <c r="AQ110" s="47"/>
      <c r="AR110" s="98">
        <v>0</v>
      </c>
      <c r="AS110" s="98">
        <v>1</v>
      </c>
      <c r="AT110" s="98">
        <v>2</v>
      </c>
      <c r="AU110" s="98">
        <v>3</v>
      </c>
      <c r="AV110" s="98">
        <v>4</v>
      </c>
      <c r="AY110" s="47"/>
      <c r="AZ110" s="98">
        <v>0</v>
      </c>
      <c r="BA110" s="98">
        <v>1</v>
      </c>
      <c r="BB110" s="98">
        <v>2</v>
      </c>
      <c r="BC110" s="98">
        <v>3</v>
      </c>
      <c r="BD110" s="98">
        <v>4</v>
      </c>
    </row>
    <row r="111" spans="1:56" x14ac:dyDescent="0.3">
      <c r="A111" s="110">
        <v>10</v>
      </c>
      <c r="B111" s="110"/>
      <c r="C111" s="98">
        <v>1</v>
      </c>
      <c r="D111" s="42">
        <v>28</v>
      </c>
      <c r="E111" s="42" t="s">
        <v>29</v>
      </c>
      <c r="F111" s="42" t="s">
        <v>29</v>
      </c>
      <c r="G111" s="42" t="s">
        <v>29</v>
      </c>
      <c r="H111" s="42" t="s">
        <v>29</v>
      </c>
      <c r="K111" s="98">
        <v>1</v>
      </c>
      <c r="L111" s="42">
        <v>56</v>
      </c>
      <c r="M111" s="42" t="s">
        <v>29</v>
      </c>
      <c r="N111" s="42" t="s">
        <v>29</v>
      </c>
      <c r="O111" s="42" t="s">
        <v>29</v>
      </c>
      <c r="P111" s="42" t="s">
        <v>29</v>
      </c>
      <c r="S111" s="98">
        <v>1</v>
      </c>
      <c r="T111" s="42">
        <v>140</v>
      </c>
      <c r="U111" s="42" t="s">
        <v>29</v>
      </c>
      <c r="V111" s="42" t="s">
        <v>29</v>
      </c>
      <c r="W111" s="42" t="s">
        <v>29</v>
      </c>
      <c r="X111" s="42" t="s">
        <v>29</v>
      </c>
      <c r="AA111" s="98">
        <v>1</v>
      </c>
      <c r="AB111" s="42">
        <v>400</v>
      </c>
      <c r="AC111" s="42" t="s">
        <v>29</v>
      </c>
      <c r="AD111" s="42" t="s">
        <v>29</v>
      </c>
      <c r="AE111" s="42" t="s">
        <v>29</v>
      </c>
      <c r="AF111" s="42" t="s">
        <v>29</v>
      </c>
      <c r="AI111" s="98">
        <v>1</v>
      </c>
      <c r="AJ111" s="42">
        <v>1100</v>
      </c>
      <c r="AK111" s="42" t="s">
        <v>29</v>
      </c>
      <c r="AL111" s="42" t="s">
        <v>29</v>
      </c>
      <c r="AM111" s="42" t="s">
        <v>29</v>
      </c>
      <c r="AN111" s="42" t="s">
        <v>29</v>
      </c>
      <c r="AQ111" s="98">
        <v>1</v>
      </c>
      <c r="AR111" s="42">
        <v>1500</v>
      </c>
      <c r="AS111" s="42" t="s">
        <v>29</v>
      </c>
      <c r="AT111" s="42" t="s">
        <v>29</v>
      </c>
      <c r="AU111" s="42" t="s">
        <v>29</v>
      </c>
      <c r="AV111" s="42" t="s">
        <v>29</v>
      </c>
      <c r="AY111" s="98">
        <v>1</v>
      </c>
      <c r="AZ111" s="42">
        <v>1900</v>
      </c>
      <c r="BA111" s="42" t="s">
        <v>29</v>
      </c>
      <c r="BB111" s="42" t="s">
        <v>29</v>
      </c>
      <c r="BC111" s="42" t="s">
        <v>29</v>
      </c>
      <c r="BD111" s="42" t="s">
        <v>29</v>
      </c>
    </row>
    <row r="112" spans="1:56" x14ac:dyDescent="0.3">
      <c r="A112" s="110"/>
      <c r="B112" s="110"/>
      <c r="C112" s="98">
        <v>2</v>
      </c>
      <c r="D112" s="42">
        <v>28</v>
      </c>
      <c r="E112" s="42">
        <v>12</v>
      </c>
      <c r="F112" s="42" t="s">
        <v>29</v>
      </c>
      <c r="G112" s="42" t="s">
        <v>29</v>
      </c>
      <c r="H112" s="42" t="s">
        <v>29</v>
      </c>
      <c r="I112" s="4"/>
      <c r="J112" s="4"/>
      <c r="K112" s="98">
        <v>2</v>
      </c>
      <c r="L112" s="42">
        <v>56</v>
      </c>
      <c r="M112" s="42">
        <v>24</v>
      </c>
      <c r="N112" s="42" t="s">
        <v>29</v>
      </c>
      <c r="O112" s="42" t="s">
        <v>29</v>
      </c>
      <c r="P112" s="42" t="s">
        <v>29</v>
      </c>
      <c r="S112" s="98">
        <v>2</v>
      </c>
      <c r="T112" s="42">
        <v>140</v>
      </c>
      <c r="U112" s="42">
        <v>61</v>
      </c>
      <c r="V112" s="42" t="s">
        <v>29</v>
      </c>
      <c r="W112" s="42" t="s">
        <v>29</v>
      </c>
      <c r="X112" s="42" t="s">
        <v>29</v>
      </c>
      <c r="AA112" s="98">
        <v>2</v>
      </c>
      <c r="AB112" s="42">
        <v>400</v>
      </c>
      <c r="AC112" s="42">
        <v>175</v>
      </c>
      <c r="AD112" s="42" t="s">
        <v>29</v>
      </c>
      <c r="AE112" s="42" t="s">
        <v>29</v>
      </c>
      <c r="AF112" s="42" t="s">
        <v>29</v>
      </c>
      <c r="AI112" s="98">
        <v>2</v>
      </c>
      <c r="AJ112" s="42">
        <v>1100</v>
      </c>
      <c r="AK112" s="42">
        <v>481</v>
      </c>
      <c r="AL112" s="42" t="s">
        <v>29</v>
      </c>
      <c r="AM112" s="42" t="s">
        <v>29</v>
      </c>
      <c r="AN112" s="42" t="s">
        <v>29</v>
      </c>
      <c r="AQ112" s="98">
        <v>2</v>
      </c>
      <c r="AR112" s="42">
        <v>1500</v>
      </c>
      <c r="AS112" s="42">
        <v>656</v>
      </c>
      <c r="AT112" s="42" t="s">
        <v>29</v>
      </c>
      <c r="AU112" s="42" t="s">
        <v>29</v>
      </c>
      <c r="AV112" s="42" t="s">
        <v>29</v>
      </c>
      <c r="AY112" s="98">
        <v>2</v>
      </c>
      <c r="AZ112" s="42">
        <v>1900</v>
      </c>
      <c r="BA112" s="42">
        <v>831</v>
      </c>
      <c r="BB112" s="42" t="s">
        <v>29</v>
      </c>
      <c r="BC112" s="42" t="s">
        <v>29</v>
      </c>
      <c r="BD112" s="42" t="s">
        <v>29</v>
      </c>
    </row>
    <row r="113" spans="1:56" x14ac:dyDescent="0.3">
      <c r="A113" s="110"/>
      <c r="B113" s="110"/>
      <c r="C113" s="98">
        <v>3</v>
      </c>
      <c r="D113" s="42">
        <v>27</v>
      </c>
      <c r="E113" s="42">
        <v>16</v>
      </c>
      <c r="F113" s="42" t="s">
        <v>29</v>
      </c>
      <c r="G113" s="42" t="s">
        <v>29</v>
      </c>
      <c r="H113" s="42" t="s">
        <v>29</v>
      </c>
      <c r="I113" s="4"/>
      <c r="J113" s="4"/>
      <c r="K113" s="98">
        <v>3</v>
      </c>
      <c r="L113" s="42">
        <v>54</v>
      </c>
      <c r="M113" s="42">
        <v>32</v>
      </c>
      <c r="N113" s="42" t="s">
        <v>29</v>
      </c>
      <c r="O113" s="42" t="s">
        <v>29</v>
      </c>
      <c r="P113" s="42" t="s">
        <v>29</v>
      </c>
      <c r="S113" s="98">
        <v>3</v>
      </c>
      <c r="T113" s="42">
        <v>138</v>
      </c>
      <c r="U113" s="42">
        <v>80</v>
      </c>
      <c r="V113" s="42" t="s">
        <v>29</v>
      </c>
      <c r="W113" s="42" t="s">
        <v>29</v>
      </c>
      <c r="X113" s="42" t="s">
        <v>29</v>
      </c>
      <c r="AA113" s="98">
        <v>3</v>
      </c>
      <c r="AB113" s="42">
        <v>399</v>
      </c>
      <c r="AC113" s="42">
        <v>232</v>
      </c>
      <c r="AD113" s="42" t="s">
        <v>29</v>
      </c>
      <c r="AE113" s="42" t="s">
        <v>29</v>
      </c>
      <c r="AF113" s="42" t="s">
        <v>29</v>
      </c>
      <c r="AI113" s="98">
        <v>3</v>
      </c>
      <c r="AJ113" s="42">
        <v>1098</v>
      </c>
      <c r="AK113" s="42">
        <v>640</v>
      </c>
      <c r="AL113" s="42" t="s">
        <v>29</v>
      </c>
      <c r="AM113" s="42" t="s">
        <v>29</v>
      </c>
      <c r="AN113" s="42" t="s">
        <v>29</v>
      </c>
      <c r="AQ113" s="98">
        <v>3</v>
      </c>
      <c r="AR113" s="42">
        <v>1500</v>
      </c>
      <c r="AS113" s="42">
        <v>874</v>
      </c>
      <c r="AT113" s="42" t="s">
        <v>29</v>
      </c>
      <c r="AU113" s="42" t="s">
        <v>29</v>
      </c>
      <c r="AV113" s="42" t="s">
        <v>29</v>
      </c>
      <c r="AY113" s="98">
        <v>3</v>
      </c>
      <c r="AZ113" s="42">
        <v>1899</v>
      </c>
      <c r="BA113" s="42">
        <v>1108</v>
      </c>
      <c r="BB113" s="42" t="s">
        <v>29</v>
      </c>
      <c r="BC113" s="42" t="s">
        <v>29</v>
      </c>
      <c r="BD113" s="42" t="s">
        <v>29</v>
      </c>
    </row>
    <row r="114" spans="1:56" x14ac:dyDescent="0.3">
      <c r="A114" s="110"/>
      <c r="B114" s="110"/>
      <c r="C114" s="98">
        <v>4</v>
      </c>
      <c r="D114" s="42">
        <v>28</v>
      </c>
      <c r="E114" s="42">
        <v>18</v>
      </c>
      <c r="F114" s="42">
        <v>10</v>
      </c>
      <c r="G114" s="42" t="s">
        <v>29</v>
      </c>
      <c r="H114" s="42" t="s">
        <v>29</v>
      </c>
      <c r="I114" s="41"/>
      <c r="J114" s="41"/>
      <c r="K114" s="98">
        <v>4</v>
      </c>
      <c r="L114" s="42">
        <v>56</v>
      </c>
      <c r="M114" s="42">
        <v>36</v>
      </c>
      <c r="N114" s="42">
        <v>20</v>
      </c>
      <c r="O114" s="42" t="s">
        <v>29</v>
      </c>
      <c r="P114" s="42" t="s">
        <v>29</v>
      </c>
      <c r="S114" s="98">
        <v>4</v>
      </c>
      <c r="T114" s="42">
        <v>140</v>
      </c>
      <c r="U114" s="42">
        <v>90</v>
      </c>
      <c r="V114" s="42">
        <v>52</v>
      </c>
      <c r="W114" s="42" t="s">
        <v>29</v>
      </c>
      <c r="X114" s="42" t="s">
        <v>29</v>
      </c>
      <c r="AA114" s="98">
        <v>4</v>
      </c>
      <c r="AB114" s="42">
        <v>400</v>
      </c>
      <c r="AC114" s="42">
        <v>261</v>
      </c>
      <c r="AD114" s="42">
        <v>150</v>
      </c>
      <c r="AE114" s="42" t="s">
        <v>29</v>
      </c>
      <c r="AF114" s="42" t="s">
        <v>29</v>
      </c>
      <c r="AI114" s="98">
        <v>4</v>
      </c>
      <c r="AJ114" s="42">
        <v>1100</v>
      </c>
      <c r="AK114" s="42">
        <v>720</v>
      </c>
      <c r="AL114" s="42">
        <v>412</v>
      </c>
      <c r="AM114" s="42" t="s">
        <v>29</v>
      </c>
      <c r="AN114" s="42" t="s">
        <v>29</v>
      </c>
      <c r="AQ114" s="98">
        <v>4</v>
      </c>
      <c r="AR114" s="42">
        <v>1500</v>
      </c>
      <c r="AS114" s="42">
        <v>984</v>
      </c>
      <c r="AT114" s="42">
        <v>562</v>
      </c>
      <c r="AU114" s="42" t="s">
        <v>29</v>
      </c>
      <c r="AV114" s="42" t="s">
        <v>29</v>
      </c>
      <c r="AY114" s="98">
        <v>4</v>
      </c>
      <c r="AZ114" s="42">
        <v>1900</v>
      </c>
      <c r="BA114" s="42">
        <v>1245</v>
      </c>
      <c r="BB114" s="42">
        <v>712</v>
      </c>
      <c r="BC114" s="42" t="s">
        <v>29</v>
      </c>
      <c r="BD114" s="42" t="s">
        <v>29</v>
      </c>
    </row>
    <row r="115" spans="1:56" x14ac:dyDescent="0.3">
      <c r="A115" s="110"/>
      <c r="B115" s="110"/>
      <c r="C115" s="98">
        <v>5</v>
      </c>
      <c r="D115" s="42">
        <v>25</v>
      </c>
      <c r="E115" s="42">
        <v>16</v>
      </c>
      <c r="F115" s="42">
        <v>12</v>
      </c>
      <c r="G115" s="42" t="s">
        <v>29</v>
      </c>
      <c r="H115" s="42" t="s">
        <v>29</v>
      </c>
      <c r="I115" s="41"/>
      <c r="J115" s="41"/>
      <c r="K115" s="98">
        <v>5</v>
      </c>
      <c r="L115" s="42">
        <v>55</v>
      </c>
      <c r="M115" s="42">
        <v>36</v>
      </c>
      <c r="N115" s="42">
        <v>24</v>
      </c>
      <c r="O115" s="42" t="s">
        <v>29</v>
      </c>
      <c r="P115" s="42" t="s">
        <v>29</v>
      </c>
      <c r="S115" s="98">
        <v>5</v>
      </c>
      <c r="T115" s="42">
        <v>140</v>
      </c>
      <c r="U115" s="42">
        <v>96</v>
      </c>
      <c r="V115" s="42">
        <v>63</v>
      </c>
      <c r="W115" s="42" t="s">
        <v>29</v>
      </c>
      <c r="X115" s="42" t="s">
        <v>29</v>
      </c>
      <c r="AA115" s="98">
        <v>5</v>
      </c>
      <c r="AB115" s="42">
        <v>400</v>
      </c>
      <c r="AC115" s="42">
        <v>280</v>
      </c>
      <c r="AD115" s="42">
        <v>180</v>
      </c>
      <c r="AE115" s="42" t="s">
        <v>29</v>
      </c>
      <c r="AF115" s="42" t="s">
        <v>29</v>
      </c>
      <c r="AI115" s="98">
        <v>5</v>
      </c>
      <c r="AJ115" s="42">
        <v>1100</v>
      </c>
      <c r="AK115" s="42">
        <v>768</v>
      </c>
      <c r="AL115" s="42">
        <v>495</v>
      </c>
      <c r="AM115" s="42" t="s">
        <v>29</v>
      </c>
      <c r="AN115" s="42" t="s">
        <v>29</v>
      </c>
      <c r="AQ115" s="98">
        <v>5</v>
      </c>
      <c r="AR115" s="42">
        <v>1500</v>
      </c>
      <c r="AS115" s="42">
        <v>1048</v>
      </c>
      <c r="AT115" s="42">
        <v>675</v>
      </c>
      <c r="AU115" s="42" t="s">
        <v>29</v>
      </c>
      <c r="AV115" s="42" t="s">
        <v>29</v>
      </c>
      <c r="AY115" s="98">
        <v>5</v>
      </c>
      <c r="AZ115" s="42">
        <v>1900</v>
      </c>
      <c r="BA115" s="42">
        <v>1328</v>
      </c>
      <c r="BB115" s="42">
        <v>855</v>
      </c>
      <c r="BC115" s="42" t="s">
        <v>29</v>
      </c>
      <c r="BD115" s="42" t="s">
        <v>29</v>
      </c>
    </row>
    <row r="116" spans="1:56" x14ac:dyDescent="0.3">
      <c r="A116" s="110"/>
      <c r="B116" s="110"/>
      <c r="C116" s="98">
        <v>6</v>
      </c>
      <c r="D116" s="42">
        <v>24</v>
      </c>
      <c r="E116" s="42">
        <v>20</v>
      </c>
      <c r="F116" s="42">
        <v>12</v>
      </c>
      <c r="G116" s="42">
        <v>6</v>
      </c>
      <c r="H116" s="42" t="s">
        <v>29</v>
      </c>
      <c r="I116" s="41"/>
      <c r="J116" s="41"/>
      <c r="K116" s="98">
        <v>6</v>
      </c>
      <c r="L116" s="42">
        <v>54</v>
      </c>
      <c r="M116" s="42">
        <v>40</v>
      </c>
      <c r="N116" s="42">
        <v>28</v>
      </c>
      <c r="O116" s="42">
        <v>15</v>
      </c>
      <c r="P116" s="42" t="s">
        <v>29</v>
      </c>
      <c r="S116" s="98">
        <v>6</v>
      </c>
      <c r="T116" s="42">
        <v>138</v>
      </c>
      <c r="U116" s="42">
        <v>100</v>
      </c>
      <c r="V116" s="42">
        <v>68</v>
      </c>
      <c r="W116" s="42">
        <v>42</v>
      </c>
      <c r="X116" s="42" t="s">
        <v>29</v>
      </c>
      <c r="AA116" s="98">
        <v>6</v>
      </c>
      <c r="AB116" s="42">
        <v>396</v>
      </c>
      <c r="AC116" s="42">
        <v>290</v>
      </c>
      <c r="AD116" s="42">
        <v>200</v>
      </c>
      <c r="AE116" s="42">
        <v>123</v>
      </c>
      <c r="AF116" s="42" t="s">
        <v>29</v>
      </c>
      <c r="AI116" s="98">
        <v>6</v>
      </c>
      <c r="AJ116" s="42">
        <v>1098</v>
      </c>
      <c r="AK116" s="42">
        <v>800</v>
      </c>
      <c r="AL116" s="42">
        <v>548</v>
      </c>
      <c r="AM116" s="42">
        <v>342</v>
      </c>
      <c r="AN116" s="42" t="s">
        <v>29</v>
      </c>
      <c r="AQ116" s="98">
        <v>6</v>
      </c>
      <c r="AR116" s="42">
        <v>1500</v>
      </c>
      <c r="AS116" s="42">
        <v>1090</v>
      </c>
      <c r="AT116" s="42">
        <v>748</v>
      </c>
      <c r="AU116" s="42">
        <v>468</v>
      </c>
      <c r="AV116" s="42" t="s">
        <v>29</v>
      </c>
      <c r="AY116" s="98">
        <v>6</v>
      </c>
      <c r="AZ116" s="42">
        <v>1896</v>
      </c>
      <c r="BA116" s="42">
        <v>1385</v>
      </c>
      <c r="BB116" s="42">
        <v>948</v>
      </c>
      <c r="BC116" s="42">
        <v>591</v>
      </c>
      <c r="BD116" s="42" t="s">
        <v>29</v>
      </c>
    </row>
    <row r="117" spans="1:56" x14ac:dyDescent="0.3">
      <c r="A117" s="110"/>
      <c r="B117" s="110"/>
      <c r="C117" s="98">
        <v>7</v>
      </c>
      <c r="D117" s="42">
        <v>28</v>
      </c>
      <c r="E117" s="42">
        <v>18</v>
      </c>
      <c r="F117" s="42">
        <v>15</v>
      </c>
      <c r="G117" s="42">
        <v>8</v>
      </c>
      <c r="H117" s="42" t="s">
        <v>29</v>
      </c>
      <c r="I117" s="41"/>
      <c r="J117" s="41"/>
      <c r="K117" s="98">
        <v>7</v>
      </c>
      <c r="L117" s="42">
        <v>56</v>
      </c>
      <c r="M117" s="42">
        <v>42</v>
      </c>
      <c r="N117" s="42">
        <v>30</v>
      </c>
      <c r="O117" s="42">
        <v>20</v>
      </c>
      <c r="P117" s="42" t="s">
        <v>29</v>
      </c>
      <c r="S117" s="98">
        <v>7</v>
      </c>
      <c r="T117" s="42">
        <v>140</v>
      </c>
      <c r="U117" s="42">
        <v>102</v>
      </c>
      <c r="V117" s="42">
        <v>75</v>
      </c>
      <c r="W117" s="42">
        <v>48</v>
      </c>
      <c r="X117" s="42" t="s">
        <v>29</v>
      </c>
      <c r="AA117" s="98">
        <v>7</v>
      </c>
      <c r="AB117" s="42">
        <v>399</v>
      </c>
      <c r="AC117" s="42">
        <v>300</v>
      </c>
      <c r="AD117" s="42">
        <v>210</v>
      </c>
      <c r="AE117" s="42">
        <v>140</v>
      </c>
      <c r="AF117" s="42" t="s">
        <v>29</v>
      </c>
      <c r="AI117" s="98">
        <v>7</v>
      </c>
      <c r="AJ117" s="42">
        <v>1099</v>
      </c>
      <c r="AK117" s="42">
        <v>822</v>
      </c>
      <c r="AL117" s="42">
        <v>585</v>
      </c>
      <c r="AM117" s="42">
        <v>392</v>
      </c>
      <c r="AN117" s="42" t="s">
        <v>29</v>
      </c>
      <c r="AQ117" s="98">
        <v>7</v>
      </c>
      <c r="AR117" s="42">
        <v>1498</v>
      </c>
      <c r="AS117" s="42">
        <v>1122</v>
      </c>
      <c r="AT117" s="42">
        <v>800</v>
      </c>
      <c r="AU117" s="42">
        <v>532</v>
      </c>
      <c r="AV117" s="42" t="s">
        <v>29</v>
      </c>
      <c r="AY117" s="98">
        <v>7</v>
      </c>
      <c r="AZ117" s="42">
        <v>1897</v>
      </c>
      <c r="BA117" s="42">
        <v>1422</v>
      </c>
      <c r="BB117" s="42">
        <v>1015</v>
      </c>
      <c r="BC117" s="42">
        <v>676</v>
      </c>
      <c r="BD117" s="42" t="s">
        <v>29</v>
      </c>
    </row>
    <row r="118" spans="1:56" x14ac:dyDescent="0.3">
      <c r="A118" s="110"/>
      <c r="B118" s="110"/>
      <c r="C118" s="98">
        <v>8</v>
      </c>
      <c r="D118" s="42">
        <v>24</v>
      </c>
      <c r="E118" s="42">
        <v>21</v>
      </c>
      <c r="F118" s="42">
        <v>12</v>
      </c>
      <c r="G118" s="42">
        <v>10</v>
      </c>
      <c r="H118" s="42">
        <v>4</v>
      </c>
      <c r="I118" s="41"/>
      <c r="J118" s="41"/>
      <c r="K118" s="98">
        <v>8</v>
      </c>
      <c r="L118" s="42">
        <v>56</v>
      </c>
      <c r="M118" s="42">
        <v>42</v>
      </c>
      <c r="N118" s="42">
        <v>30</v>
      </c>
      <c r="O118" s="42">
        <v>20</v>
      </c>
      <c r="P118" s="42">
        <v>12</v>
      </c>
      <c r="S118" s="98">
        <v>8</v>
      </c>
      <c r="T118" s="42">
        <v>136</v>
      </c>
      <c r="U118" s="42">
        <v>105</v>
      </c>
      <c r="V118" s="42">
        <v>78</v>
      </c>
      <c r="W118" s="42">
        <v>50</v>
      </c>
      <c r="X118" s="42">
        <v>32</v>
      </c>
      <c r="AA118" s="98">
        <v>8</v>
      </c>
      <c r="AB118" s="42">
        <v>400</v>
      </c>
      <c r="AC118" s="42">
        <v>301</v>
      </c>
      <c r="AD118" s="42">
        <v>222</v>
      </c>
      <c r="AE118" s="42">
        <v>155</v>
      </c>
      <c r="AF118" s="42">
        <v>100</v>
      </c>
      <c r="AI118" s="98">
        <v>8</v>
      </c>
      <c r="AJ118" s="42">
        <v>1096</v>
      </c>
      <c r="AK118" s="42">
        <v>840</v>
      </c>
      <c r="AL118" s="42">
        <v>618</v>
      </c>
      <c r="AM118" s="42">
        <v>425</v>
      </c>
      <c r="AN118" s="42">
        <v>272</v>
      </c>
      <c r="AQ118" s="98">
        <v>8</v>
      </c>
      <c r="AR118" s="42">
        <v>1496</v>
      </c>
      <c r="AS118" s="42">
        <v>1148</v>
      </c>
      <c r="AT118" s="42">
        <v>840</v>
      </c>
      <c r="AU118" s="42">
        <v>585</v>
      </c>
      <c r="AV118" s="42">
        <v>372</v>
      </c>
      <c r="AY118" s="98">
        <v>8</v>
      </c>
      <c r="AZ118" s="42">
        <v>1896</v>
      </c>
      <c r="BA118" s="42">
        <v>1449</v>
      </c>
      <c r="BB118" s="42">
        <v>1068</v>
      </c>
      <c r="BC118" s="42">
        <v>740</v>
      </c>
      <c r="BD118" s="42">
        <v>472</v>
      </c>
    </row>
    <row r="119" spans="1:56" x14ac:dyDescent="0.3">
      <c r="A119" s="110"/>
      <c r="B119" s="110"/>
      <c r="C119" s="98">
        <v>9</v>
      </c>
      <c r="D119" s="42">
        <v>27</v>
      </c>
      <c r="E119" s="42">
        <v>16</v>
      </c>
      <c r="F119" s="42">
        <v>14</v>
      </c>
      <c r="G119" s="42">
        <v>6</v>
      </c>
      <c r="H119" s="42">
        <v>5</v>
      </c>
      <c r="I119" s="41"/>
      <c r="J119" s="41"/>
      <c r="K119" s="98">
        <v>9</v>
      </c>
      <c r="L119" s="42">
        <v>54</v>
      </c>
      <c r="M119" s="42">
        <v>40</v>
      </c>
      <c r="N119" s="42">
        <v>28</v>
      </c>
      <c r="O119" s="42">
        <v>18</v>
      </c>
      <c r="P119" s="42">
        <v>15</v>
      </c>
      <c r="S119" s="98">
        <v>9</v>
      </c>
      <c r="T119" s="42">
        <v>135</v>
      </c>
      <c r="U119" s="42">
        <v>104</v>
      </c>
      <c r="V119" s="42">
        <v>77</v>
      </c>
      <c r="W119" s="42">
        <v>54</v>
      </c>
      <c r="X119" s="42">
        <v>35</v>
      </c>
      <c r="AA119" s="98">
        <v>9</v>
      </c>
      <c r="AB119" s="42">
        <v>396</v>
      </c>
      <c r="AC119" s="42">
        <v>304</v>
      </c>
      <c r="AD119" s="42">
        <v>231</v>
      </c>
      <c r="AE119" s="42">
        <v>162</v>
      </c>
      <c r="AF119" s="42">
        <v>110</v>
      </c>
      <c r="AI119" s="98">
        <v>9</v>
      </c>
      <c r="AJ119" s="42">
        <v>1098</v>
      </c>
      <c r="AK119" s="42">
        <v>848</v>
      </c>
      <c r="AL119" s="42">
        <v>637</v>
      </c>
      <c r="AM119" s="42">
        <v>456</v>
      </c>
      <c r="AN119" s="42">
        <v>305</v>
      </c>
      <c r="AQ119" s="98">
        <v>9</v>
      </c>
      <c r="AR119" s="42">
        <v>1494</v>
      </c>
      <c r="AS119" s="42">
        <v>1160</v>
      </c>
      <c r="AT119" s="42">
        <v>875</v>
      </c>
      <c r="AU119" s="42">
        <v>624</v>
      </c>
      <c r="AV119" s="42">
        <v>415</v>
      </c>
      <c r="AY119" s="98">
        <v>9</v>
      </c>
      <c r="AZ119" s="42">
        <v>1899</v>
      </c>
      <c r="BA119" s="42">
        <v>1472</v>
      </c>
      <c r="BB119" s="42">
        <v>1106</v>
      </c>
      <c r="BC119" s="42">
        <v>786</v>
      </c>
      <c r="BD119" s="42">
        <v>525</v>
      </c>
    </row>
    <row r="121" spans="1:56" ht="15" x14ac:dyDescent="0.25">
      <c r="D121" s="109" t="s">
        <v>31</v>
      </c>
      <c r="E121" s="109"/>
      <c r="F121" s="109"/>
      <c r="G121" s="109"/>
      <c r="H121" s="109"/>
      <c r="L121" s="109" t="s">
        <v>30</v>
      </c>
      <c r="M121" s="109"/>
      <c r="N121" s="109"/>
      <c r="O121" s="109"/>
      <c r="P121" s="109"/>
      <c r="T121" s="109" t="s">
        <v>32</v>
      </c>
      <c r="U121" s="109"/>
      <c r="V121" s="109"/>
      <c r="W121" s="109"/>
      <c r="X121" s="109"/>
      <c r="AB121" s="109" t="s">
        <v>33</v>
      </c>
      <c r="AC121" s="109"/>
      <c r="AD121" s="109"/>
      <c r="AE121" s="109"/>
      <c r="AF121" s="109"/>
      <c r="AJ121" s="109" t="s">
        <v>34</v>
      </c>
      <c r="AK121" s="109"/>
      <c r="AL121" s="109"/>
      <c r="AM121" s="109"/>
      <c r="AN121" s="109"/>
      <c r="AR121" s="109" t="s">
        <v>35</v>
      </c>
      <c r="AS121" s="109"/>
      <c r="AT121" s="109"/>
      <c r="AU121" s="109"/>
      <c r="AV121" s="109"/>
      <c r="AZ121" s="109" t="s">
        <v>36</v>
      </c>
      <c r="BA121" s="109"/>
      <c r="BB121" s="109"/>
      <c r="BC121" s="109"/>
      <c r="BD121" s="109"/>
    </row>
    <row r="122" spans="1:56" ht="15" x14ac:dyDescent="0.25">
      <c r="C122" s="47"/>
      <c r="D122" s="68">
        <v>0</v>
      </c>
      <c r="E122" s="68">
        <v>1</v>
      </c>
      <c r="F122" s="68">
        <v>2</v>
      </c>
      <c r="G122" s="68">
        <v>3</v>
      </c>
      <c r="H122" s="68">
        <v>4</v>
      </c>
      <c r="K122" s="47"/>
      <c r="L122" s="68">
        <v>0</v>
      </c>
      <c r="M122" s="68">
        <v>1</v>
      </c>
      <c r="N122" s="68">
        <v>2</v>
      </c>
      <c r="O122" s="68">
        <v>3</v>
      </c>
      <c r="P122" s="68">
        <v>4</v>
      </c>
      <c r="S122" s="47"/>
      <c r="T122" s="98">
        <v>0</v>
      </c>
      <c r="U122" s="98">
        <v>1</v>
      </c>
      <c r="V122" s="98">
        <v>2</v>
      </c>
      <c r="W122" s="98">
        <v>3</v>
      </c>
      <c r="X122" s="98">
        <v>4</v>
      </c>
      <c r="AA122" s="47"/>
      <c r="AB122" s="98">
        <v>0</v>
      </c>
      <c r="AC122" s="98">
        <v>1</v>
      </c>
      <c r="AD122" s="98">
        <v>2</v>
      </c>
      <c r="AE122" s="98">
        <v>3</v>
      </c>
      <c r="AF122" s="98">
        <v>4</v>
      </c>
      <c r="AI122" s="47"/>
      <c r="AJ122" s="98">
        <v>0</v>
      </c>
      <c r="AK122" s="98">
        <v>1</v>
      </c>
      <c r="AL122" s="98">
        <v>2</v>
      </c>
      <c r="AM122" s="98">
        <v>3</v>
      </c>
      <c r="AN122" s="98">
        <v>4</v>
      </c>
      <c r="AQ122" s="47"/>
      <c r="AR122" s="98">
        <v>0</v>
      </c>
      <c r="AS122" s="98">
        <v>1</v>
      </c>
      <c r="AT122" s="98">
        <v>2</v>
      </c>
      <c r="AU122" s="98">
        <v>3</v>
      </c>
      <c r="AV122" s="98">
        <v>4</v>
      </c>
      <c r="AY122" s="47"/>
      <c r="AZ122" s="98">
        <v>0</v>
      </c>
      <c r="BA122" s="98">
        <v>1</v>
      </c>
      <c r="BB122" s="98">
        <v>2</v>
      </c>
      <c r="BC122" s="98">
        <v>3</v>
      </c>
      <c r="BD122" s="98">
        <v>4</v>
      </c>
    </row>
    <row r="123" spans="1:56" x14ac:dyDescent="0.3">
      <c r="A123" s="110">
        <v>11</v>
      </c>
      <c r="B123" s="110"/>
      <c r="C123" s="68">
        <v>1</v>
      </c>
      <c r="D123" s="42">
        <v>32</v>
      </c>
      <c r="E123" s="42" t="s">
        <v>29</v>
      </c>
      <c r="F123" s="42" t="s">
        <v>29</v>
      </c>
      <c r="G123" s="42" t="s">
        <v>29</v>
      </c>
      <c r="H123" s="42" t="s">
        <v>29</v>
      </c>
      <c r="K123" s="68">
        <v>1</v>
      </c>
      <c r="L123" s="42">
        <v>64</v>
      </c>
      <c r="M123" s="42" t="s">
        <v>29</v>
      </c>
      <c r="N123" s="42" t="s">
        <v>29</v>
      </c>
      <c r="O123" s="42" t="s">
        <v>29</v>
      </c>
      <c r="P123" s="42" t="s">
        <v>29</v>
      </c>
      <c r="S123" s="98">
        <v>1</v>
      </c>
      <c r="T123" s="42">
        <v>160</v>
      </c>
      <c r="U123" s="42" t="s">
        <v>29</v>
      </c>
      <c r="V123" s="42" t="s">
        <v>29</v>
      </c>
      <c r="W123" s="42" t="s">
        <v>29</v>
      </c>
      <c r="X123" s="42" t="s">
        <v>29</v>
      </c>
      <c r="AA123" s="98">
        <v>1</v>
      </c>
      <c r="AB123" s="42">
        <v>440</v>
      </c>
      <c r="AC123" s="42" t="s">
        <v>29</v>
      </c>
      <c r="AD123" s="42" t="s">
        <v>29</v>
      </c>
      <c r="AE123" s="42" t="s">
        <v>29</v>
      </c>
      <c r="AF123" s="42" t="s">
        <v>29</v>
      </c>
      <c r="AI123" s="98">
        <v>1</v>
      </c>
      <c r="AJ123" s="42">
        <v>1200</v>
      </c>
      <c r="AK123" s="42" t="s">
        <v>29</v>
      </c>
      <c r="AL123" s="42" t="s">
        <v>29</v>
      </c>
      <c r="AM123" s="42" t="s">
        <v>29</v>
      </c>
      <c r="AN123" s="42" t="s">
        <v>29</v>
      </c>
      <c r="AQ123" s="98">
        <v>1</v>
      </c>
      <c r="AR123" s="42">
        <v>1600</v>
      </c>
      <c r="AS123" s="42" t="s">
        <v>29</v>
      </c>
      <c r="AT123" s="42" t="s">
        <v>29</v>
      </c>
      <c r="AU123" s="42" t="s">
        <v>29</v>
      </c>
      <c r="AV123" s="42" t="s">
        <v>29</v>
      </c>
      <c r="AY123" s="98">
        <v>1</v>
      </c>
      <c r="AZ123" s="42">
        <v>2000</v>
      </c>
      <c r="BA123" s="42" t="s">
        <v>29</v>
      </c>
      <c r="BB123" s="42" t="s">
        <v>29</v>
      </c>
      <c r="BC123" s="42" t="s">
        <v>29</v>
      </c>
      <c r="BD123" s="42" t="s">
        <v>29</v>
      </c>
    </row>
    <row r="124" spans="1:56" x14ac:dyDescent="0.3">
      <c r="A124" s="110"/>
      <c r="B124" s="110"/>
      <c r="C124" s="68">
        <v>2</v>
      </c>
      <c r="D124" s="42">
        <v>32</v>
      </c>
      <c r="E124" s="42">
        <v>14</v>
      </c>
      <c r="F124" s="42" t="s">
        <v>29</v>
      </c>
      <c r="G124" s="42" t="s">
        <v>29</v>
      </c>
      <c r="H124" s="42" t="s">
        <v>29</v>
      </c>
      <c r="I124" s="4"/>
      <c r="J124" s="4"/>
      <c r="K124" s="68">
        <v>2</v>
      </c>
      <c r="L124" s="42">
        <v>64</v>
      </c>
      <c r="M124" s="42">
        <v>28</v>
      </c>
      <c r="N124" s="42" t="s">
        <v>29</v>
      </c>
      <c r="O124" s="42" t="s">
        <v>29</v>
      </c>
      <c r="P124" s="42" t="s">
        <v>29</v>
      </c>
      <c r="S124" s="98">
        <v>2</v>
      </c>
      <c r="T124" s="42">
        <v>160</v>
      </c>
      <c r="U124" s="42">
        <v>70</v>
      </c>
      <c r="V124" s="42" t="s">
        <v>29</v>
      </c>
      <c r="W124" s="42" t="s">
        <v>29</v>
      </c>
      <c r="X124" s="42" t="s">
        <v>29</v>
      </c>
      <c r="AA124" s="98">
        <v>2</v>
      </c>
      <c r="AB124" s="42">
        <v>440</v>
      </c>
      <c r="AC124" s="42">
        <v>192</v>
      </c>
      <c r="AD124" s="42" t="s">
        <v>29</v>
      </c>
      <c r="AE124" s="42" t="s">
        <v>29</v>
      </c>
      <c r="AF124" s="42" t="s">
        <v>29</v>
      </c>
      <c r="AI124" s="98">
        <v>2</v>
      </c>
      <c r="AJ124" s="42">
        <v>1200</v>
      </c>
      <c r="AK124" s="42">
        <v>525</v>
      </c>
      <c r="AL124" s="42" t="s">
        <v>29</v>
      </c>
      <c r="AM124" s="42" t="s">
        <v>29</v>
      </c>
      <c r="AN124" s="42" t="s">
        <v>29</v>
      </c>
      <c r="AQ124" s="98">
        <v>2</v>
      </c>
      <c r="AR124" s="42">
        <v>1600</v>
      </c>
      <c r="AS124" s="42">
        <v>700</v>
      </c>
      <c r="AT124" s="42" t="s">
        <v>29</v>
      </c>
      <c r="AU124" s="42" t="s">
        <v>29</v>
      </c>
      <c r="AV124" s="42" t="s">
        <v>29</v>
      </c>
      <c r="AY124" s="98">
        <v>2</v>
      </c>
      <c r="AZ124" s="42">
        <v>2000</v>
      </c>
      <c r="BA124" s="42">
        <v>875</v>
      </c>
      <c r="BB124" s="42" t="s">
        <v>29</v>
      </c>
      <c r="BC124" s="42" t="s">
        <v>29</v>
      </c>
      <c r="BD124" s="42" t="s">
        <v>29</v>
      </c>
    </row>
    <row r="125" spans="1:56" x14ac:dyDescent="0.3">
      <c r="A125" s="110"/>
      <c r="B125" s="110"/>
      <c r="C125" s="68">
        <v>3</v>
      </c>
      <c r="D125" s="42">
        <v>30</v>
      </c>
      <c r="E125" s="42">
        <v>18</v>
      </c>
      <c r="F125" s="42" t="s">
        <v>29</v>
      </c>
      <c r="G125" s="42" t="s">
        <v>29</v>
      </c>
      <c r="H125" s="42" t="s">
        <v>29</v>
      </c>
      <c r="I125" s="4"/>
      <c r="J125" s="4"/>
      <c r="K125" s="68">
        <v>3</v>
      </c>
      <c r="L125" s="42">
        <v>63</v>
      </c>
      <c r="M125" s="42">
        <v>36</v>
      </c>
      <c r="N125" s="42" t="s">
        <v>29</v>
      </c>
      <c r="O125" s="42" t="s">
        <v>29</v>
      </c>
      <c r="P125" s="42" t="s">
        <v>29</v>
      </c>
      <c r="S125" s="98">
        <v>3</v>
      </c>
      <c r="T125" s="42">
        <v>159</v>
      </c>
      <c r="U125" s="42">
        <v>92</v>
      </c>
      <c r="V125" s="42" t="s">
        <v>29</v>
      </c>
      <c r="W125" s="42" t="s">
        <v>29</v>
      </c>
      <c r="X125" s="42" t="s">
        <v>29</v>
      </c>
      <c r="AA125" s="98">
        <v>3</v>
      </c>
      <c r="AB125" s="42">
        <v>438</v>
      </c>
      <c r="AC125" s="42">
        <v>256</v>
      </c>
      <c r="AD125" s="42" t="s">
        <v>29</v>
      </c>
      <c r="AE125" s="42" t="s">
        <v>29</v>
      </c>
      <c r="AF125" s="42" t="s">
        <v>29</v>
      </c>
      <c r="AI125" s="98">
        <v>3</v>
      </c>
      <c r="AJ125" s="42">
        <v>1200</v>
      </c>
      <c r="AK125" s="42">
        <v>700</v>
      </c>
      <c r="AL125" s="42" t="s">
        <v>29</v>
      </c>
      <c r="AM125" s="42" t="s">
        <v>29</v>
      </c>
      <c r="AN125" s="42" t="s">
        <v>29</v>
      </c>
      <c r="AQ125" s="98">
        <v>3</v>
      </c>
      <c r="AR125" s="42">
        <v>1599</v>
      </c>
      <c r="AS125" s="42">
        <v>932</v>
      </c>
      <c r="AT125" s="42" t="s">
        <v>29</v>
      </c>
      <c r="AU125" s="42" t="s">
        <v>29</v>
      </c>
      <c r="AV125" s="42" t="s">
        <v>29</v>
      </c>
      <c r="AY125" s="98">
        <v>3</v>
      </c>
      <c r="AZ125" s="42">
        <v>1998</v>
      </c>
      <c r="BA125" s="42">
        <v>1166</v>
      </c>
      <c r="BB125" s="42" t="s">
        <v>29</v>
      </c>
      <c r="BC125" s="42" t="s">
        <v>29</v>
      </c>
      <c r="BD125" s="42" t="s">
        <v>29</v>
      </c>
    </row>
    <row r="126" spans="1:56" x14ac:dyDescent="0.3">
      <c r="A126" s="110"/>
      <c r="B126" s="110"/>
      <c r="C126" s="68">
        <v>4</v>
      </c>
      <c r="D126" s="42">
        <v>32</v>
      </c>
      <c r="E126" s="42">
        <v>21</v>
      </c>
      <c r="F126" s="42">
        <v>12</v>
      </c>
      <c r="G126" s="42" t="s">
        <v>29</v>
      </c>
      <c r="H126" s="42" t="s">
        <v>29</v>
      </c>
      <c r="I126" s="41"/>
      <c r="J126" s="41"/>
      <c r="K126" s="68">
        <v>4</v>
      </c>
      <c r="L126" s="42">
        <v>64</v>
      </c>
      <c r="M126" s="42">
        <v>42</v>
      </c>
      <c r="N126" s="42">
        <v>24</v>
      </c>
      <c r="O126" s="42" t="s">
        <v>29</v>
      </c>
      <c r="P126" s="42" t="s">
        <v>29</v>
      </c>
      <c r="S126" s="98">
        <v>4</v>
      </c>
      <c r="T126" s="42">
        <v>160</v>
      </c>
      <c r="U126" s="42">
        <v>105</v>
      </c>
      <c r="V126" s="42">
        <v>60</v>
      </c>
      <c r="W126" s="42" t="s">
        <v>29</v>
      </c>
      <c r="X126" s="42" t="s">
        <v>29</v>
      </c>
      <c r="AA126" s="98">
        <v>4</v>
      </c>
      <c r="AB126" s="42">
        <v>440</v>
      </c>
      <c r="AC126" s="42">
        <v>288</v>
      </c>
      <c r="AD126" s="42">
        <v>164</v>
      </c>
      <c r="AE126" s="42" t="s">
        <v>29</v>
      </c>
      <c r="AF126" s="42" t="s">
        <v>29</v>
      </c>
      <c r="AI126" s="98">
        <v>4</v>
      </c>
      <c r="AJ126" s="42">
        <v>1200</v>
      </c>
      <c r="AK126" s="42">
        <v>786</v>
      </c>
      <c r="AL126" s="42">
        <v>450</v>
      </c>
      <c r="AM126" s="42" t="s">
        <v>29</v>
      </c>
      <c r="AN126" s="42" t="s">
        <v>29</v>
      </c>
      <c r="AQ126" s="98">
        <v>4</v>
      </c>
      <c r="AR126" s="42">
        <v>1600</v>
      </c>
      <c r="AS126" s="42">
        <v>1050</v>
      </c>
      <c r="AT126" s="42">
        <v>600</v>
      </c>
      <c r="AU126" s="42" t="s">
        <v>29</v>
      </c>
      <c r="AV126" s="42" t="s">
        <v>29</v>
      </c>
      <c r="AY126" s="98">
        <v>4</v>
      </c>
      <c r="AZ126" s="42">
        <v>2000</v>
      </c>
      <c r="BA126" s="42">
        <v>1311</v>
      </c>
      <c r="BB126" s="42">
        <v>750</v>
      </c>
      <c r="BC126" s="42" t="s">
        <v>29</v>
      </c>
      <c r="BD126" s="42" t="s">
        <v>29</v>
      </c>
    </row>
    <row r="127" spans="1:56" x14ac:dyDescent="0.3">
      <c r="A127" s="110"/>
      <c r="B127" s="110"/>
      <c r="C127" s="68">
        <v>5</v>
      </c>
      <c r="D127" s="42">
        <v>30</v>
      </c>
      <c r="E127" s="42">
        <v>20</v>
      </c>
      <c r="F127" s="42">
        <v>12</v>
      </c>
      <c r="G127" s="42" t="s">
        <v>29</v>
      </c>
      <c r="H127" s="42" t="s">
        <v>29</v>
      </c>
      <c r="I127" s="41"/>
      <c r="J127" s="41"/>
      <c r="K127" s="68">
        <v>5</v>
      </c>
      <c r="L127" s="42">
        <v>60</v>
      </c>
      <c r="M127" s="42">
        <v>44</v>
      </c>
      <c r="N127" s="42">
        <v>27</v>
      </c>
      <c r="O127" s="42" t="s">
        <v>29</v>
      </c>
      <c r="P127" s="42" t="s">
        <v>29</v>
      </c>
      <c r="S127" s="98">
        <v>5</v>
      </c>
      <c r="T127" s="42">
        <v>160</v>
      </c>
      <c r="U127" s="42">
        <v>112</v>
      </c>
      <c r="V127" s="42">
        <v>72</v>
      </c>
      <c r="W127" s="42" t="s">
        <v>29</v>
      </c>
      <c r="X127" s="42" t="s">
        <v>29</v>
      </c>
      <c r="AA127" s="98">
        <v>5</v>
      </c>
      <c r="AB127" s="42">
        <v>440</v>
      </c>
      <c r="AC127" s="42">
        <v>308</v>
      </c>
      <c r="AD127" s="42">
        <v>198</v>
      </c>
      <c r="AE127" s="42" t="s">
        <v>29</v>
      </c>
      <c r="AF127" s="42" t="s">
        <v>29</v>
      </c>
      <c r="AI127" s="98">
        <v>5</v>
      </c>
      <c r="AJ127" s="42">
        <v>1200</v>
      </c>
      <c r="AK127" s="42">
        <v>840</v>
      </c>
      <c r="AL127" s="42">
        <v>540</v>
      </c>
      <c r="AM127" s="42" t="s">
        <v>29</v>
      </c>
      <c r="AN127" s="42" t="s">
        <v>29</v>
      </c>
      <c r="AQ127" s="98">
        <v>5</v>
      </c>
      <c r="AR127" s="42">
        <v>1600</v>
      </c>
      <c r="AS127" s="42">
        <v>1120</v>
      </c>
      <c r="AT127" s="42">
        <v>720</v>
      </c>
      <c r="AU127" s="42" t="s">
        <v>29</v>
      </c>
      <c r="AV127" s="42" t="s">
        <v>29</v>
      </c>
      <c r="AY127" s="98">
        <v>5</v>
      </c>
      <c r="AZ127" s="42">
        <v>2000</v>
      </c>
      <c r="BA127" s="42">
        <v>1400</v>
      </c>
      <c r="BB127" s="42">
        <v>900</v>
      </c>
      <c r="BC127" s="42" t="s">
        <v>29</v>
      </c>
      <c r="BD127" s="42" t="s">
        <v>29</v>
      </c>
    </row>
    <row r="128" spans="1:56" x14ac:dyDescent="0.3">
      <c r="A128" s="110"/>
      <c r="B128" s="110"/>
      <c r="C128" s="68">
        <v>6</v>
      </c>
      <c r="D128" s="42">
        <v>30</v>
      </c>
      <c r="E128" s="42">
        <v>20</v>
      </c>
      <c r="F128" s="42">
        <v>16</v>
      </c>
      <c r="G128" s="42">
        <v>9</v>
      </c>
      <c r="H128" s="42" t="s">
        <v>29</v>
      </c>
      <c r="I128" s="41"/>
      <c r="J128" s="41"/>
      <c r="K128" s="68">
        <v>6</v>
      </c>
      <c r="L128" s="42">
        <v>60</v>
      </c>
      <c r="M128" s="42">
        <v>45</v>
      </c>
      <c r="N128" s="42">
        <v>32</v>
      </c>
      <c r="O128" s="42">
        <v>18</v>
      </c>
      <c r="P128" s="42" t="s">
        <v>29</v>
      </c>
      <c r="S128" s="98">
        <v>6</v>
      </c>
      <c r="T128" s="42">
        <v>156</v>
      </c>
      <c r="U128" s="42">
        <v>115</v>
      </c>
      <c r="V128" s="42">
        <v>80</v>
      </c>
      <c r="W128" s="42">
        <v>48</v>
      </c>
      <c r="X128" s="42" t="s">
        <v>29</v>
      </c>
      <c r="AA128" s="98">
        <v>6</v>
      </c>
      <c r="AB128" s="42">
        <v>438</v>
      </c>
      <c r="AC128" s="42">
        <v>320</v>
      </c>
      <c r="AD128" s="42">
        <v>220</v>
      </c>
      <c r="AE128" s="42">
        <v>135</v>
      </c>
      <c r="AF128" s="42" t="s">
        <v>29</v>
      </c>
      <c r="AI128" s="98">
        <v>6</v>
      </c>
      <c r="AJ128" s="42">
        <v>1200</v>
      </c>
      <c r="AK128" s="42">
        <v>875</v>
      </c>
      <c r="AL128" s="42">
        <v>600</v>
      </c>
      <c r="AM128" s="42">
        <v>375</v>
      </c>
      <c r="AN128" s="42" t="s">
        <v>29</v>
      </c>
      <c r="AQ128" s="98">
        <v>6</v>
      </c>
      <c r="AR128" s="42">
        <v>1596</v>
      </c>
      <c r="AS128" s="42">
        <v>1165</v>
      </c>
      <c r="AT128" s="42">
        <v>800</v>
      </c>
      <c r="AU128" s="42">
        <v>498</v>
      </c>
      <c r="AV128" s="42" t="s">
        <v>29</v>
      </c>
      <c r="AY128" s="98">
        <v>6</v>
      </c>
      <c r="AZ128" s="42">
        <v>1998</v>
      </c>
      <c r="BA128" s="42">
        <v>1455</v>
      </c>
      <c r="BB128" s="42">
        <v>1000</v>
      </c>
      <c r="BC128" s="42">
        <v>624</v>
      </c>
      <c r="BD128" s="42" t="s">
        <v>29</v>
      </c>
    </row>
    <row r="129" spans="1:56" x14ac:dyDescent="0.3">
      <c r="A129" s="110"/>
      <c r="B129" s="110"/>
      <c r="C129" s="68">
        <v>7</v>
      </c>
      <c r="D129" s="42">
        <v>28</v>
      </c>
      <c r="E129" s="42">
        <v>24</v>
      </c>
      <c r="F129" s="42">
        <v>15</v>
      </c>
      <c r="G129" s="42">
        <v>8</v>
      </c>
      <c r="H129" s="42" t="s">
        <v>29</v>
      </c>
      <c r="I129" s="41"/>
      <c r="J129" s="41"/>
      <c r="K129" s="68">
        <v>7</v>
      </c>
      <c r="L129" s="42">
        <v>63</v>
      </c>
      <c r="M129" s="42">
        <v>48</v>
      </c>
      <c r="N129" s="42">
        <v>30</v>
      </c>
      <c r="O129" s="42">
        <v>20</v>
      </c>
      <c r="P129" s="42" t="s">
        <v>29</v>
      </c>
      <c r="S129" s="98">
        <v>7</v>
      </c>
      <c r="T129" s="42">
        <v>154</v>
      </c>
      <c r="U129" s="42">
        <v>120</v>
      </c>
      <c r="V129" s="42">
        <v>85</v>
      </c>
      <c r="W129" s="42">
        <v>56</v>
      </c>
      <c r="X129" s="42" t="s">
        <v>29</v>
      </c>
      <c r="AA129" s="98">
        <v>7</v>
      </c>
      <c r="AB129" s="42">
        <v>434</v>
      </c>
      <c r="AC129" s="42">
        <v>330</v>
      </c>
      <c r="AD129" s="42">
        <v>235</v>
      </c>
      <c r="AE129" s="42">
        <v>156</v>
      </c>
      <c r="AF129" s="42" t="s">
        <v>29</v>
      </c>
      <c r="AI129" s="98">
        <v>7</v>
      </c>
      <c r="AJ129" s="42">
        <v>1197</v>
      </c>
      <c r="AK129" s="42">
        <v>900</v>
      </c>
      <c r="AL129" s="42">
        <v>640</v>
      </c>
      <c r="AM129" s="42">
        <v>428</v>
      </c>
      <c r="AN129" s="42" t="s">
        <v>29</v>
      </c>
      <c r="AQ129" s="98">
        <v>7</v>
      </c>
      <c r="AR129" s="42">
        <v>1596</v>
      </c>
      <c r="AS129" s="42">
        <v>1200</v>
      </c>
      <c r="AT129" s="42">
        <v>855</v>
      </c>
      <c r="AU129" s="42">
        <v>568</v>
      </c>
      <c r="AV129" s="42" t="s">
        <v>29</v>
      </c>
      <c r="AY129" s="98">
        <v>7</v>
      </c>
      <c r="AZ129" s="42">
        <v>1995</v>
      </c>
      <c r="BA129" s="42">
        <v>1500</v>
      </c>
      <c r="BB129" s="42">
        <v>1070</v>
      </c>
      <c r="BC129" s="42">
        <v>712</v>
      </c>
      <c r="BD129" s="42" t="s">
        <v>29</v>
      </c>
    </row>
    <row r="130" spans="1:56" x14ac:dyDescent="0.3">
      <c r="A130" s="110"/>
      <c r="B130" s="110"/>
      <c r="C130" s="68">
        <v>8</v>
      </c>
      <c r="D130" s="42">
        <v>32</v>
      </c>
      <c r="E130" s="42">
        <v>21</v>
      </c>
      <c r="F130" s="42">
        <v>18</v>
      </c>
      <c r="G130" s="42">
        <v>10</v>
      </c>
      <c r="H130" s="42">
        <v>8</v>
      </c>
      <c r="I130" s="41"/>
      <c r="J130" s="41"/>
      <c r="K130" s="68">
        <v>8</v>
      </c>
      <c r="L130" s="42">
        <v>64</v>
      </c>
      <c r="M130" s="42">
        <v>49</v>
      </c>
      <c r="N130" s="42">
        <v>36</v>
      </c>
      <c r="O130" s="42">
        <v>25</v>
      </c>
      <c r="P130" s="42">
        <v>16</v>
      </c>
      <c r="S130" s="98">
        <v>8</v>
      </c>
      <c r="T130" s="42">
        <v>160</v>
      </c>
      <c r="U130" s="42">
        <v>119</v>
      </c>
      <c r="V130" s="42">
        <v>90</v>
      </c>
      <c r="W130" s="42">
        <v>60</v>
      </c>
      <c r="X130" s="42">
        <v>40</v>
      </c>
      <c r="AA130" s="98">
        <v>8</v>
      </c>
      <c r="AB130" s="42">
        <v>440</v>
      </c>
      <c r="AC130" s="42">
        <v>336</v>
      </c>
      <c r="AD130" s="42">
        <v>246</v>
      </c>
      <c r="AE130" s="42">
        <v>170</v>
      </c>
      <c r="AF130" s="42">
        <v>108</v>
      </c>
      <c r="AI130" s="98">
        <v>8</v>
      </c>
      <c r="AJ130" s="42">
        <v>1200</v>
      </c>
      <c r="AK130" s="42">
        <v>917</v>
      </c>
      <c r="AL130" s="42">
        <v>672</v>
      </c>
      <c r="AM130" s="42">
        <v>465</v>
      </c>
      <c r="AN130" s="42">
        <v>300</v>
      </c>
      <c r="AQ130" s="98">
        <v>8</v>
      </c>
      <c r="AR130" s="42">
        <v>1600</v>
      </c>
      <c r="AS130" s="42">
        <v>1225</v>
      </c>
      <c r="AT130" s="42">
        <v>900</v>
      </c>
      <c r="AU130" s="42">
        <v>625</v>
      </c>
      <c r="AV130" s="42">
        <v>400</v>
      </c>
      <c r="AY130" s="98">
        <v>8</v>
      </c>
      <c r="AZ130" s="42">
        <v>2000</v>
      </c>
      <c r="BA130" s="42">
        <v>1526</v>
      </c>
      <c r="BB130" s="42">
        <v>1122</v>
      </c>
      <c r="BC130" s="42">
        <v>780</v>
      </c>
      <c r="BD130" s="42">
        <v>500</v>
      </c>
    </row>
    <row r="131" spans="1:56" x14ac:dyDescent="0.3">
      <c r="A131" s="110"/>
      <c r="B131" s="110"/>
      <c r="C131" s="68">
        <v>9</v>
      </c>
      <c r="D131" s="42">
        <v>27</v>
      </c>
      <c r="E131" s="42">
        <v>24</v>
      </c>
      <c r="F131" s="42">
        <v>14</v>
      </c>
      <c r="G131" s="42">
        <v>12</v>
      </c>
      <c r="H131" s="42">
        <v>5</v>
      </c>
      <c r="I131" s="41"/>
      <c r="J131" s="41"/>
      <c r="K131" s="68">
        <v>9</v>
      </c>
      <c r="L131" s="42">
        <v>63</v>
      </c>
      <c r="M131" s="42">
        <v>48</v>
      </c>
      <c r="N131" s="42">
        <v>35</v>
      </c>
      <c r="O131" s="42">
        <v>24</v>
      </c>
      <c r="P131" s="42">
        <v>15</v>
      </c>
      <c r="S131" s="98">
        <v>9</v>
      </c>
      <c r="T131" s="42">
        <v>153</v>
      </c>
      <c r="U131" s="42">
        <v>120</v>
      </c>
      <c r="V131" s="42">
        <v>91</v>
      </c>
      <c r="W131" s="42">
        <v>66</v>
      </c>
      <c r="X131" s="42">
        <v>40</v>
      </c>
      <c r="AA131" s="98">
        <v>9</v>
      </c>
      <c r="AB131" s="42">
        <v>432</v>
      </c>
      <c r="AC131" s="42">
        <v>336</v>
      </c>
      <c r="AD131" s="42">
        <v>252</v>
      </c>
      <c r="AE131" s="42">
        <v>180</v>
      </c>
      <c r="AF131" s="42">
        <v>120</v>
      </c>
      <c r="AI131" s="98">
        <v>9</v>
      </c>
      <c r="AJ131" s="42">
        <v>1197</v>
      </c>
      <c r="AK131" s="42">
        <v>928</v>
      </c>
      <c r="AL131" s="42">
        <v>700</v>
      </c>
      <c r="AM131" s="42">
        <v>498</v>
      </c>
      <c r="AN131" s="42">
        <v>330</v>
      </c>
      <c r="AQ131" s="98">
        <v>9</v>
      </c>
      <c r="AR131" s="42">
        <v>1593</v>
      </c>
      <c r="AS131" s="42">
        <v>1240</v>
      </c>
      <c r="AT131" s="42">
        <v>931</v>
      </c>
      <c r="AU131" s="42">
        <v>666</v>
      </c>
      <c r="AV131" s="42">
        <v>440</v>
      </c>
      <c r="AY131" s="98">
        <v>9</v>
      </c>
      <c r="AZ131" s="42">
        <v>1998</v>
      </c>
      <c r="BA131" s="42">
        <v>1552</v>
      </c>
      <c r="BB131" s="42">
        <v>1162</v>
      </c>
      <c r="BC131" s="42">
        <v>828</v>
      </c>
      <c r="BD131" s="42">
        <v>555</v>
      </c>
    </row>
    <row r="133" spans="1:56" ht="15" x14ac:dyDescent="0.25">
      <c r="D133" s="109" t="s">
        <v>31</v>
      </c>
      <c r="E133" s="109"/>
      <c r="F133" s="109"/>
      <c r="G133" s="109"/>
      <c r="H133" s="109"/>
      <c r="L133" s="109" t="s">
        <v>30</v>
      </c>
      <c r="M133" s="109"/>
      <c r="N133" s="109"/>
      <c r="O133" s="109"/>
      <c r="P133" s="109"/>
      <c r="T133" s="109" t="s">
        <v>32</v>
      </c>
      <c r="U133" s="109"/>
      <c r="V133" s="109"/>
      <c r="W133" s="109"/>
      <c r="X133" s="109"/>
      <c r="AB133" s="109" t="s">
        <v>33</v>
      </c>
      <c r="AC133" s="109"/>
      <c r="AD133" s="109"/>
      <c r="AE133" s="109"/>
      <c r="AF133" s="109"/>
      <c r="AJ133" s="109" t="s">
        <v>34</v>
      </c>
      <c r="AK133" s="109"/>
      <c r="AL133" s="109"/>
      <c r="AM133" s="109"/>
      <c r="AN133" s="109"/>
      <c r="AR133" s="109" t="s">
        <v>35</v>
      </c>
      <c r="AS133" s="109"/>
      <c r="AT133" s="109"/>
      <c r="AU133" s="109"/>
      <c r="AV133" s="109"/>
      <c r="AZ133" s="109" t="s">
        <v>36</v>
      </c>
      <c r="BA133" s="109"/>
      <c r="BB133" s="109"/>
      <c r="BC133" s="109"/>
      <c r="BD133" s="109"/>
    </row>
    <row r="134" spans="1:56" ht="15" x14ac:dyDescent="0.25">
      <c r="C134" s="47"/>
      <c r="D134" s="68">
        <v>0</v>
      </c>
      <c r="E134" s="68">
        <v>1</v>
      </c>
      <c r="F134" s="68">
        <v>2</v>
      </c>
      <c r="G134" s="68">
        <v>3</v>
      </c>
      <c r="H134" s="68">
        <v>4</v>
      </c>
      <c r="K134" s="47"/>
      <c r="L134" s="68">
        <v>0</v>
      </c>
      <c r="M134" s="68">
        <v>1</v>
      </c>
      <c r="N134" s="68">
        <v>2</v>
      </c>
      <c r="O134" s="68">
        <v>3</v>
      </c>
      <c r="P134" s="68">
        <v>4</v>
      </c>
      <c r="S134" s="47"/>
      <c r="T134" s="98">
        <v>0</v>
      </c>
      <c r="U134" s="98">
        <v>1</v>
      </c>
      <c r="V134" s="98">
        <v>2</v>
      </c>
      <c r="W134" s="98">
        <v>3</v>
      </c>
      <c r="X134" s="98">
        <v>4</v>
      </c>
      <c r="AA134" s="47"/>
      <c r="AB134" s="98">
        <v>0</v>
      </c>
      <c r="AC134" s="98">
        <v>1</v>
      </c>
      <c r="AD134" s="98">
        <v>2</v>
      </c>
      <c r="AE134" s="98">
        <v>3</v>
      </c>
      <c r="AF134" s="98">
        <v>4</v>
      </c>
      <c r="AI134" s="47"/>
      <c r="AJ134" s="98">
        <v>0</v>
      </c>
      <c r="AK134" s="98">
        <v>1</v>
      </c>
      <c r="AL134" s="98">
        <v>2</v>
      </c>
      <c r="AM134" s="98">
        <v>3</v>
      </c>
      <c r="AN134" s="98">
        <v>4</v>
      </c>
      <c r="AQ134" s="47"/>
      <c r="AR134" s="98">
        <v>0</v>
      </c>
      <c r="AS134" s="98">
        <v>1</v>
      </c>
      <c r="AT134" s="98">
        <v>2</v>
      </c>
      <c r="AU134" s="98">
        <v>3</v>
      </c>
      <c r="AV134" s="98">
        <v>4</v>
      </c>
      <c r="AY134" s="47"/>
      <c r="AZ134" s="98">
        <v>0</v>
      </c>
      <c r="BA134" s="98">
        <v>1</v>
      </c>
      <c r="BB134" s="98">
        <v>2</v>
      </c>
      <c r="BC134" s="98">
        <v>3</v>
      </c>
      <c r="BD134" s="98">
        <v>4</v>
      </c>
    </row>
    <row r="135" spans="1:56" x14ac:dyDescent="0.3">
      <c r="A135" s="110">
        <v>12</v>
      </c>
      <c r="B135" s="110"/>
      <c r="C135" s="68">
        <v>1</v>
      </c>
      <c r="D135" s="42">
        <v>36</v>
      </c>
      <c r="E135" s="42" t="s">
        <v>29</v>
      </c>
      <c r="F135" s="42" t="s">
        <v>29</v>
      </c>
      <c r="G135" s="42" t="s">
        <v>29</v>
      </c>
      <c r="H135" s="42" t="s">
        <v>29</v>
      </c>
      <c r="K135" s="68">
        <v>1</v>
      </c>
      <c r="L135" s="42">
        <v>72</v>
      </c>
      <c r="M135" s="42" t="s">
        <v>29</v>
      </c>
      <c r="N135" s="42" t="s">
        <v>29</v>
      </c>
      <c r="O135" s="42" t="s">
        <v>29</v>
      </c>
      <c r="P135" s="42" t="s">
        <v>29</v>
      </c>
      <c r="S135" s="98">
        <v>1</v>
      </c>
      <c r="T135" s="42">
        <v>180</v>
      </c>
      <c r="U135" s="42" t="s">
        <v>29</v>
      </c>
      <c r="V135" s="42" t="s">
        <v>29</v>
      </c>
      <c r="W135" s="42" t="s">
        <v>29</v>
      </c>
      <c r="X135" s="42" t="s">
        <v>29</v>
      </c>
      <c r="AA135" s="98">
        <v>1</v>
      </c>
      <c r="AB135" s="42">
        <v>500</v>
      </c>
      <c r="AC135" s="42" t="s">
        <v>29</v>
      </c>
      <c r="AD135" s="42" t="s">
        <v>29</v>
      </c>
      <c r="AE135" s="42" t="s">
        <v>29</v>
      </c>
      <c r="AF135" s="42" t="s">
        <v>29</v>
      </c>
      <c r="AI135" s="98">
        <v>1</v>
      </c>
      <c r="AJ135" s="42">
        <v>1400</v>
      </c>
      <c r="AK135" s="42" t="s">
        <v>29</v>
      </c>
      <c r="AL135" s="42" t="s">
        <v>29</v>
      </c>
      <c r="AM135" s="42" t="s">
        <v>29</v>
      </c>
      <c r="AN135" s="42" t="s">
        <v>29</v>
      </c>
      <c r="AQ135" s="98">
        <v>1</v>
      </c>
      <c r="AR135" s="42">
        <v>1750</v>
      </c>
      <c r="AS135" s="42" t="s">
        <v>29</v>
      </c>
      <c r="AT135" s="42" t="s">
        <v>29</v>
      </c>
      <c r="AU135" s="42" t="s">
        <v>29</v>
      </c>
      <c r="AV135" s="42" t="s">
        <v>29</v>
      </c>
      <c r="AY135" s="98">
        <v>1</v>
      </c>
      <c r="AZ135" s="42">
        <v>2100</v>
      </c>
      <c r="BA135" s="42" t="s">
        <v>29</v>
      </c>
      <c r="BB135" s="42" t="s">
        <v>29</v>
      </c>
      <c r="BC135" s="42" t="s">
        <v>29</v>
      </c>
      <c r="BD135" s="42" t="s">
        <v>29</v>
      </c>
    </row>
    <row r="136" spans="1:56" x14ac:dyDescent="0.3">
      <c r="A136" s="110"/>
      <c r="B136" s="110"/>
      <c r="C136" s="68">
        <v>2</v>
      </c>
      <c r="D136" s="42">
        <v>36</v>
      </c>
      <c r="E136" s="42">
        <v>15</v>
      </c>
      <c r="F136" s="42" t="s">
        <v>29</v>
      </c>
      <c r="G136" s="42" t="s">
        <v>29</v>
      </c>
      <c r="H136" s="42" t="s">
        <v>29</v>
      </c>
      <c r="I136" s="4"/>
      <c r="J136" s="4"/>
      <c r="K136" s="68">
        <v>2</v>
      </c>
      <c r="L136" s="42">
        <v>72</v>
      </c>
      <c r="M136" s="42">
        <v>31</v>
      </c>
      <c r="N136" s="42" t="s">
        <v>29</v>
      </c>
      <c r="O136" s="42" t="s">
        <v>29</v>
      </c>
      <c r="P136" s="42" t="s">
        <v>29</v>
      </c>
      <c r="S136" s="98">
        <v>2</v>
      </c>
      <c r="T136" s="42">
        <v>180</v>
      </c>
      <c r="U136" s="42">
        <v>78</v>
      </c>
      <c r="V136" s="42" t="s">
        <v>29</v>
      </c>
      <c r="W136" s="42" t="s">
        <v>29</v>
      </c>
      <c r="X136" s="42" t="s">
        <v>29</v>
      </c>
      <c r="AA136" s="98">
        <v>2</v>
      </c>
      <c r="AB136" s="42">
        <v>500</v>
      </c>
      <c r="AC136" s="42">
        <v>218</v>
      </c>
      <c r="AD136" s="42" t="s">
        <v>29</v>
      </c>
      <c r="AE136" s="42" t="s">
        <v>29</v>
      </c>
      <c r="AF136" s="42" t="s">
        <v>29</v>
      </c>
      <c r="AI136" s="98">
        <v>2</v>
      </c>
      <c r="AJ136" s="42">
        <v>1400</v>
      </c>
      <c r="AK136" s="42">
        <v>612</v>
      </c>
      <c r="AL136" s="42" t="s">
        <v>29</v>
      </c>
      <c r="AM136" s="42" t="s">
        <v>29</v>
      </c>
      <c r="AN136" s="42" t="s">
        <v>29</v>
      </c>
      <c r="AQ136" s="98">
        <v>2</v>
      </c>
      <c r="AR136" s="42">
        <v>1750</v>
      </c>
      <c r="AS136" s="42">
        <v>765</v>
      </c>
      <c r="AT136" s="42" t="s">
        <v>29</v>
      </c>
      <c r="AU136" s="42" t="s">
        <v>29</v>
      </c>
      <c r="AV136" s="42" t="s">
        <v>29</v>
      </c>
      <c r="AY136" s="98">
        <v>2</v>
      </c>
      <c r="AZ136" s="42">
        <v>2100</v>
      </c>
      <c r="BA136" s="42">
        <v>918</v>
      </c>
      <c r="BB136" s="42" t="s">
        <v>29</v>
      </c>
      <c r="BC136" s="42" t="s">
        <v>29</v>
      </c>
      <c r="BD136" s="42" t="s">
        <v>29</v>
      </c>
    </row>
    <row r="137" spans="1:56" x14ac:dyDescent="0.3">
      <c r="A137" s="110"/>
      <c r="B137" s="110"/>
      <c r="C137" s="68">
        <v>3</v>
      </c>
      <c r="D137" s="42">
        <v>36</v>
      </c>
      <c r="E137" s="42">
        <v>20</v>
      </c>
      <c r="F137" s="42" t="s">
        <v>29</v>
      </c>
      <c r="G137" s="42" t="s">
        <v>29</v>
      </c>
      <c r="H137" s="42" t="s">
        <v>29</v>
      </c>
      <c r="I137" s="4"/>
      <c r="J137" s="4"/>
      <c r="K137" s="68">
        <v>3</v>
      </c>
      <c r="L137" s="42">
        <v>72</v>
      </c>
      <c r="M137" s="42">
        <v>42</v>
      </c>
      <c r="N137" s="42" t="s">
        <v>29</v>
      </c>
      <c r="O137" s="42" t="s">
        <v>29</v>
      </c>
      <c r="P137" s="42" t="s">
        <v>29</v>
      </c>
      <c r="S137" s="98">
        <v>3</v>
      </c>
      <c r="T137" s="42">
        <v>180</v>
      </c>
      <c r="U137" s="42">
        <v>104</v>
      </c>
      <c r="V137" s="42" t="s">
        <v>29</v>
      </c>
      <c r="W137" s="42" t="s">
        <v>29</v>
      </c>
      <c r="X137" s="42" t="s">
        <v>29</v>
      </c>
      <c r="AA137" s="98">
        <v>3</v>
      </c>
      <c r="AB137" s="42">
        <v>498</v>
      </c>
      <c r="AC137" s="42">
        <v>290</v>
      </c>
      <c r="AD137" s="42" t="s">
        <v>29</v>
      </c>
      <c r="AE137" s="42" t="s">
        <v>29</v>
      </c>
      <c r="AF137" s="42" t="s">
        <v>29</v>
      </c>
      <c r="AI137" s="98">
        <v>3</v>
      </c>
      <c r="AJ137" s="42">
        <v>1398</v>
      </c>
      <c r="AK137" s="42">
        <v>816</v>
      </c>
      <c r="AL137" s="42" t="s">
        <v>29</v>
      </c>
      <c r="AM137" s="42" t="s">
        <v>29</v>
      </c>
      <c r="AN137" s="42" t="s">
        <v>29</v>
      </c>
      <c r="AQ137" s="98">
        <v>3</v>
      </c>
      <c r="AR137" s="42">
        <v>1749</v>
      </c>
      <c r="AS137" s="42">
        <v>1020</v>
      </c>
      <c r="AT137" s="42" t="s">
        <v>29</v>
      </c>
      <c r="AU137" s="42" t="s">
        <v>29</v>
      </c>
      <c r="AV137" s="42" t="s">
        <v>29</v>
      </c>
      <c r="AY137" s="98">
        <v>3</v>
      </c>
      <c r="AZ137" s="42">
        <v>2100</v>
      </c>
      <c r="BA137" s="42">
        <v>1224</v>
      </c>
      <c r="BB137" s="42" t="s">
        <v>29</v>
      </c>
      <c r="BC137" s="42" t="s">
        <v>29</v>
      </c>
      <c r="BD137" s="42" t="s">
        <v>29</v>
      </c>
    </row>
    <row r="138" spans="1:56" x14ac:dyDescent="0.3">
      <c r="A138" s="110"/>
      <c r="B138" s="110"/>
      <c r="C138" s="68">
        <v>4</v>
      </c>
      <c r="D138" s="42">
        <v>36</v>
      </c>
      <c r="E138" s="42">
        <v>21</v>
      </c>
      <c r="F138" s="42">
        <v>12</v>
      </c>
      <c r="G138" s="42" t="s">
        <v>29</v>
      </c>
      <c r="H138" s="42" t="s">
        <v>29</v>
      </c>
      <c r="I138" s="41"/>
      <c r="J138" s="41"/>
      <c r="K138" s="68">
        <v>4</v>
      </c>
      <c r="L138" s="42">
        <v>72</v>
      </c>
      <c r="M138" s="42">
        <v>45</v>
      </c>
      <c r="N138" s="42">
        <v>26</v>
      </c>
      <c r="O138" s="42" t="s">
        <v>29</v>
      </c>
      <c r="P138" s="42" t="s">
        <v>29</v>
      </c>
      <c r="S138" s="98">
        <v>4</v>
      </c>
      <c r="T138" s="42">
        <v>180</v>
      </c>
      <c r="U138" s="42">
        <v>117</v>
      </c>
      <c r="V138" s="42">
        <v>66</v>
      </c>
      <c r="W138" s="42" t="s">
        <v>29</v>
      </c>
      <c r="X138" s="42" t="s">
        <v>29</v>
      </c>
      <c r="AA138" s="98">
        <v>4</v>
      </c>
      <c r="AB138" s="42">
        <v>500</v>
      </c>
      <c r="AC138" s="42">
        <v>327</v>
      </c>
      <c r="AD138" s="42">
        <v>186</v>
      </c>
      <c r="AE138" s="42" t="s">
        <v>29</v>
      </c>
      <c r="AF138" s="42" t="s">
        <v>29</v>
      </c>
      <c r="AI138" s="98">
        <v>4</v>
      </c>
      <c r="AJ138" s="42">
        <v>1400</v>
      </c>
      <c r="AK138" s="42">
        <v>918</v>
      </c>
      <c r="AL138" s="42">
        <v>524</v>
      </c>
      <c r="AM138" s="42" t="s">
        <v>29</v>
      </c>
      <c r="AN138" s="42" t="s">
        <v>29</v>
      </c>
      <c r="AQ138" s="98">
        <v>4</v>
      </c>
      <c r="AR138" s="42">
        <v>1748</v>
      </c>
      <c r="AS138" s="42">
        <v>1146</v>
      </c>
      <c r="AT138" s="42">
        <v>656</v>
      </c>
      <c r="AU138" s="42" t="s">
        <v>29</v>
      </c>
      <c r="AV138" s="42" t="s">
        <v>29</v>
      </c>
      <c r="AY138" s="98">
        <v>4</v>
      </c>
      <c r="AZ138" s="42">
        <v>2100</v>
      </c>
      <c r="BA138" s="42">
        <v>1377</v>
      </c>
      <c r="BB138" s="42">
        <v>786</v>
      </c>
      <c r="BC138" s="42" t="s">
        <v>29</v>
      </c>
      <c r="BD138" s="42" t="s">
        <v>29</v>
      </c>
    </row>
    <row r="139" spans="1:56" x14ac:dyDescent="0.3">
      <c r="A139" s="110"/>
      <c r="B139" s="110"/>
      <c r="C139" s="68">
        <v>5</v>
      </c>
      <c r="D139" s="42">
        <v>35</v>
      </c>
      <c r="E139" s="42">
        <v>24</v>
      </c>
      <c r="F139" s="42">
        <v>15</v>
      </c>
      <c r="G139" s="42" t="s">
        <v>29</v>
      </c>
      <c r="H139" s="42" t="s">
        <v>29</v>
      </c>
      <c r="I139" s="41"/>
      <c r="J139" s="41"/>
      <c r="K139" s="68">
        <v>5</v>
      </c>
      <c r="L139" s="42">
        <v>70</v>
      </c>
      <c r="M139" s="42">
        <v>48</v>
      </c>
      <c r="N139" s="42">
        <v>30</v>
      </c>
      <c r="O139" s="42" t="s">
        <v>29</v>
      </c>
      <c r="P139" s="42" t="s">
        <v>29</v>
      </c>
      <c r="S139" s="98">
        <v>5</v>
      </c>
      <c r="T139" s="42">
        <v>180</v>
      </c>
      <c r="U139" s="42">
        <v>124</v>
      </c>
      <c r="V139" s="42">
        <v>81</v>
      </c>
      <c r="W139" s="42" t="s">
        <v>29</v>
      </c>
      <c r="X139" s="42" t="s">
        <v>29</v>
      </c>
      <c r="AA139" s="98">
        <v>5</v>
      </c>
      <c r="AB139" s="42">
        <v>500</v>
      </c>
      <c r="AC139" s="42">
        <v>348</v>
      </c>
      <c r="AD139" s="42">
        <v>225</v>
      </c>
      <c r="AE139" s="42" t="s">
        <v>29</v>
      </c>
      <c r="AF139" s="42" t="s">
        <v>29</v>
      </c>
      <c r="AI139" s="98">
        <v>5</v>
      </c>
      <c r="AJ139" s="42">
        <v>1400</v>
      </c>
      <c r="AK139" s="42">
        <v>980</v>
      </c>
      <c r="AL139" s="42">
        <v>630</v>
      </c>
      <c r="AM139" s="42" t="s">
        <v>29</v>
      </c>
      <c r="AN139" s="42" t="s">
        <v>29</v>
      </c>
      <c r="AQ139" s="98">
        <v>5</v>
      </c>
      <c r="AR139" s="42">
        <v>1750</v>
      </c>
      <c r="AS139" s="42">
        <v>1224</v>
      </c>
      <c r="AT139" s="42">
        <v>786</v>
      </c>
      <c r="AU139" s="42" t="s">
        <v>29</v>
      </c>
      <c r="AV139" s="42" t="s">
        <v>29</v>
      </c>
      <c r="AY139" s="98">
        <v>5</v>
      </c>
      <c r="AZ139" s="42">
        <v>2100</v>
      </c>
      <c r="BA139" s="42">
        <v>1468</v>
      </c>
      <c r="BB139" s="42">
        <v>945</v>
      </c>
      <c r="BC139" s="42" t="s">
        <v>29</v>
      </c>
      <c r="BD139" s="42" t="s">
        <v>29</v>
      </c>
    </row>
    <row r="140" spans="1:56" x14ac:dyDescent="0.3">
      <c r="A140" s="110"/>
      <c r="B140" s="110"/>
      <c r="C140" s="68">
        <v>6</v>
      </c>
      <c r="D140" s="42">
        <v>36</v>
      </c>
      <c r="E140" s="42">
        <v>25</v>
      </c>
      <c r="F140" s="42">
        <v>16</v>
      </c>
      <c r="G140" s="42">
        <v>9</v>
      </c>
      <c r="H140" s="42" t="s">
        <v>29</v>
      </c>
      <c r="I140" s="41"/>
      <c r="J140" s="41"/>
      <c r="K140" s="68">
        <v>6</v>
      </c>
      <c r="L140" s="42">
        <v>72</v>
      </c>
      <c r="M140" s="42">
        <v>50</v>
      </c>
      <c r="N140" s="42">
        <v>36</v>
      </c>
      <c r="O140" s="42">
        <v>21</v>
      </c>
      <c r="P140" s="42" t="s">
        <v>29</v>
      </c>
      <c r="S140" s="98">
        <v>6</v>
      </c>
      <c r="T140" s="42">
        <v>180</v>
      </c>
      <c r="U140" s="42">
        <v>130</v>
      </c>
      <c r="V140" s="42">
        <v>88</v>
      </c>
      <c r="W140" s="42">
        <v>54</v>
      </c>
      <c r="X140" s="42" t="s">
        <v>29</v>
      </c>
      <c r="AA140" s="98">
        <v>6</v>
      </c>
      <c r="AB140" s="42">
        <v>498</v>
      </c>
      <c r="AC140" s="42">
        <v>360</v>
      </c>
      <c r="AD140" s="42">
        <v>248</v>
      </c>
      <c r="AE140" s="42">
        <v>156</v>
      </c>
      <c r="AF140" s="42" t="s">
        <v>29</v>
      </c>
      <c r="AI140" s="98">
        <v>6</v>
      </c>
      <c r="AJ140" s="42">
        <v>1398</v>
      </c>
      <c r="AK140" s="42">
        <v>1020</v>
      </c>
      <c r="AL140" s="42">
        <v>700</v>
      </c>
      <c r="AM140" s="42">
        <v>435</v>
      </c>
      <c r="AN140" s="42" t="s">
        <v>29</v>
      </c>
      <c r="AQ140" s="98">
        <v>6</v>
      </c>
      <c r="AR140" s="42">
        <v>1746</v>
      </c>
      <c r="AS140" s="42">
        <v>2555</v>
      </c>
      <c r="AT140" s="42">
        <v>872</v>
      </c>
      <c r="AU140" s="42">
        <v>546</v>
      </c>
      <c r="AV140" s="42" t="s">
        <v>29</v>
      </c>
      <c r="AY140" s="98">
        <v>6</v>
      </c>
      <c r="AZ140" s="42">
        <v>2100</v>
      </c>
      <c r="BA140" s="42">
        <v>1530</v>
      </c>
      <c r="BB140" s="42">
        <v>1048</v>
      </c>
      <c r="BC140" s="42">
        <v>654</v>
      </c>
      <c r="BD140" s="42" t="s">
        <v>29</v>
      </c>
    </row>
    <row r="141" spans="1:56" x14ac:dyDescent="0.3">
      <c r="A141" s="110"/>
      <c r="B141" s="110"/>
      <c r="C141" s="68">
        <v>7</v>
      </c>
      <c r="D141" s="42">
        <v>35</v>
      </c>
      <c r="E141" s="42">
        <v>24</v>
      </c>
      <c r="F141" s="42">
        <v>15</v>
      </c>
      <c r="G141" s="42">
        <v>12</v>
      </c>
      <c r="H141" s="42" t="s">
        <v>29</v>
      </c>
      <c r="I141" s="41"/>
      <c r="J141" s="41"/>
      <c r="K141" s="68">
        <v>7</v>
      </c>
      <c r="L141" s="42">
        <v>70</v>
      </c>
      <c r="M141" s="42">
        <v>54</v>
      </c>
      <c r="N141" s="42">
        <v>35</v>
      </c>
      <c r="O141" s="42">
        <v>24</v>
      </c>
      <c r="P141" s="42" t="s">
        <v>29</v>
      </c>
      <c r="S141" s="98">
        <v>7</v>
      </c>
      <c r="T141" s="42">
        <v>175</v>
      </c>
      <c r="U141" s="42">
        <v>132</v>
      </c>
      <c r="V141" s="42">
        <v>95</v>
      </c>
      <c r="W141" s="42">
        <v>64</v>
      </c>
      <c r="X141" s="42" t="s">
        <v>29</v>
      </c>
      <c r="AA141" s="98">
        <v>7</v>
      </c>
      <c r="AB141" s="42">
        <v>497</v>
      </c>
      <c r="AC141" s="42">
        <v>372</v>
      </c>
      <c r="AD141" s="42">
        <v>265</v>
      </c>
      <c r="AE141" s="42">
        <v>176</v>
      </c>
      <c r="AF141" s="42" t="s">
        <v>29</v>
      </c>
      <c r="AI141" s="98">
        <v>7</v>
      </c>
      <c r="AJ141" s="42">
        <v>1400</v>
      </c>
      <c r="AK141" s="42">
        <v>1050</v>
      </c>
      <c r="AL141" s="42">
        <v>750</v>
      </c>
      <c r="AM141" s="42">
        <v>500</v>
      </c>
      <c r="AN141" s="42" t="s">
        <v>29</v>
      </c>
      <c r="AQ141" s="98">
        <v>7</v>
      </c>
      <c r="AR141" s="42">
        <v>1750</v>
      </c>
      <c r="AS141" s="42">
        <v>1308</v>
      </c>
      <c r="AT141" s="42">
        <v>935</v>
      </c>
      <c r="AU141" s="42">
        <v>624</v>
      </c>
      <c r="AV141" s="42" t="s">
        <v>29</v>
      </c>
      <c r="AY141" s="98">
        <v>7</v>
      </c>
      <c r="AZ141" s="42">
        <v>2100</v>
      </c>
      <c r="BA141" s="42">
        <v>1572</v>
      </c>
      <c r="BB141" s="42">
        <v>1125</v>
      </c>
      <c r="BC141" s="42">
        <v>748</v>
      </c>
      <c r="BD141" s="42" t="s">
        <v>29</v>
      </c>
    </row>
    <row r="142" spans="1:56" x14ac:dyDescent="0.3">
      <c r="A142" s="110"/>
      <c r="B142" s="110"/>
      <c r="C142" s="68">
        <v>8</v>
      </c>
      <c r="D142" s="42">
        <v>32</v>
      </c>
      <c r="E142" s="42">
        <v>21</v>
      </c>
      <c r="F142" s="42">
        <v>18</v>
      </c>
      <c r="G142" s="42">
        <v>10</v>
      </c>
      <c r="H142" s="42">
        <v>8</v>
      </c>
      <c r="I142" s="41"/>
      <c r="J142" s="41"/>
      <c r="K142" s="68">
        <v>8</v>
      </c>
      <c r="L142" s="42">
        <v>72</v>
      </c>
      <c r="M142" s="42">
        <v>49</v>
      </c>
      <c r="N142" s="42">
        <v>36</v>
      </c>
      <c r="O142" s="42">
        <v>25</v>
      </c>
      <c r="P142" s="42">
        <v>16</v>
      </c>
      <c r="S142" s="98">
        <v>8</v>
      </c>
      <c r="T142" s="42">
        <v>176</v>
      </c>
      <c r="U142" s="42">
        <v>133</v>
      </c>
      <c r="V142" s="42">
        <v>96</v>
      </c>
      <c r="W142" s="42">
        <v>70</v>
      </c>
      <c r="X142" s="42">
        <v>44</v>
      </c>
      <c r="AA142" s="98">
        <v>8</v>
      </c>
      <c r="AB142" s="42">
        <v>496</v>
      </c>
      <c r="AC142" s="42">
        <v>378</v>
      </c>
      <c r="AD142" s="42">
        <v>276</v>
      </c>
      <c r="AE142" s="42">
        <v>195</v>
      </c>
      <c r="AF142" s="42">
        <v>124</v>
      </c>
      <c r="AI142" s="98">
        <v>8</v>
      </c>
      <c r="AJ142" s="42">
        <v>1400</v>
      </c>
      <c r="AK142" s="42">
        <v>1071</v>
      </c>
      <c r="AL142" s="42">
        <v>786</v>
      </c>
      <c r="AM142" s="42">
        <v>545</v>
      </c>
      <c r="AN142" s="42">
        <v>348</v>
      </c>
      <c r="AQ142" s="98">
        <v>8</v>
      </c>
      <c r="AR142" s="42">
        <v>1744</v>
      </c>
      <c r="AS142" s="42">
        <v>1337</v>
      </c>
      <c r="AT142" s="42">
        <v>984</v>
      </c>
      <c r="AU142" s="42">
        <v>680</v>
      </c>
      <c r="AV142" s="42">
        <v>436</v>
      </c>
      <c r="AY142" s="98">
        <v>8</v>
      </c>
      <c r="AZ142" s="42">
        <v>2096</v>
      </c>
      <c r="BA142" s="42">
        <v>1603</v>
      </c>
      <c r="BB142" s="42">
        <v>1176</v>
      </c>
      <c r="BC142" s="42">
        <v>820</v>
      </c>
      <c r="BD142" s="42">
        <v>524</v>
      </c>
    </row>
    <row r="143" spans="1:56" x14ac:dyDescent="0.3">
      <c r="A143" s="110"/>
      <c r="B143" s="110"/>
      <c r="C143" s="68">
        <v>9</v>
      </c>
      <c r="D143" s="42">
        <v>36</v>
      </c>
      <c r="E143" s="42">
        <v>24</v>
      </c>
      <c r="F143" s="42">
        <v>21</v>
      </c>
      <c r="G143" s="42">
        <v>12</v>
      </c>
      <c r="H143" s="42">
        <v>10</v>
      </c>
      <c r="I143" s="41"/>
      <c r="J143" s="41"/>
      <c r="K143" s="68">
        <v>9</v>
      </c>
      <c r="L143" s="42">
        <v>72</v>
      </c>
      <c r="M143" s="42">
        <v>56</v>
      </c>
      <c r="N143" s="42">
        <v>42</v>
      </c>
      <c r="O143" s="42">
        <v>30</v>
      </c>
      <c r="P143" s="42">
        <v>20</v>
      </c>
      <c r="S143" s="98">
        <v>9</v>
      </c>
      <c r="T143" s="42">
        <v>180</v>
      </c>
      <c r="U143" s="42">
        <v>136</v>
      </c>
      <c r="V143" s="42">
        <v>105</v>
      </c>
      <c r="W143" s="42">
        <v>72</v>
      </c>
      <c r="X143" s="42">
        <v>50</v>
      </c>
      <c r="AA143" s="98">
        <v>9</v>
      </c>
      <c r="AB143" s="42">
        <v>495</v>
      </c>
      <c r="AC143" s="42">
        <v>384</v>
      </c>
      <c r="AD143" s="42">
        <v>287</v>
      </c>
      <c r="AE143" s="42">
        <v>204</v>
      </c>
      <c r="AF143" s="42">
        <v>135</v>
      </c>
      <c r="AI143" s="98">
        <v>9</v>
      </c>
      <c r="AJ143" s="42">
        <v>1395</v>
      </c>
      <c r="AK143" s="42">
        <v>1088</v>
      </c>
      <c r="AL143" s="42">
        <v>812</v>
      </c>
      <c r="AM143" s="42">
        <v>582</v>
      </c>
      <c r="AN143" s="42">
        <v>385</v>
      </c>
      <c r="AQ143" s="98">
        <v>9</v>
      </c>
      <c r="AR143" s="42">
        <v>1746</v>
      </c>
      <c r="AS143" s="42">
        <v>1360</v>
      </c>
      <c r="AT143" s="42">
        <v>1015</v>
      </c>
      <c r="AU143" s="42">
        <v>726</v>
      </c>
      <c r="AV143" s="42">
        <v>485</v>
      </c>
      <c r="AY143" s="98">
        <v>9</v>
      </c>
      <c r="AZ143" s="42">
        <v>2097</v>
      </c>
      <c r="BA143" s="42">
        <v>1632</v>
      </c>
      <c r="BB143" s="42">
        <v>1225</v>
      </c>
      <c r="BC143" s="42">
        <v>870</v>
      </c>
      <c r="BD143" s="42">
        <v>580</v>
      </c>
    </row>
    <row r="145" spans="1:56" ht="15" x14ac:dyDescent="0.25">
      <c r="D145" s="109" t="s">
        <v>31</v>
      </c>
      <c r="E145" s="109"/>
      <c r="F145" s="109"/>
      <c r="G145" s="109"/>
      <c r="H145" s="109"/>
      <c r="L145" s="109" t="s">
        <v>30</v>
      </c>
      <c r="M145" s="109"/>
      <c r="N145" s="109"/>
      <c r="O145" s="109"/>
      <c r="P145" s="109"/>
      <c r="T145" s="109" t="s">
        <v>32</v>
      </c>
      <c r="U145" s="109"/>
      <c r="V145" s="109"/>
      <c r="W145" s="109"/>
      <c r="X145" s="109"/>
      <c r="AB145" s="109" t="s">
        <v>33</v>
      </c>
      <c r="AC145" s="109"/>
      <c r="AD145" s="109"/>
      <c r="AE145" s="109"/>
      <c r="AF145" s="109"/>
      <c r="AJ145" s="109" t="s">
        <v>34</v>
      </c>
      <c r="AK145" s="109"/>
      <c r="AL145" s="109"/>
      <c r="AM145" s="109"/>
      <c r="AN145" s="109"/>
      <c r="AR145" s="109" t="s">
        <v>35</v>
      </c>
      <c r="AS145" s="109"/>
      <c r="AT145" s="109"/>
      <c r="AU145" s="109"/>
      <c r="AV145" s="109"/>
      <c r="AZ145" s="109" t="s">
        <v>36</v>
      </c>
      <c r="BA145" s="109"/>
      <c r="BB145" s="109"/>
      <c r="BC145" s="109"/>
      <c r="BD145" s="109"/>
    </row>
    <row r="146" spans="1:56" ht="15" x14ac:dyDescent="0.25">
      <c r="C146" s="47"/>
      <c r="D146" s="98">
        <v>0</v>
      </c>
      <c r="E146" s="98">
        <v>1</v>
      </c>
      <c r="F146" s="98">
        <v>2</v>
      </c>
      <c r="G146" s="98">
        <v>3</v>
      </c>
      <c r="H146" s="98">
        <v>4</v>
      </c>
      <c r="K146" s="47"/>
      <c r="L146" s="98">
        <v>0</v>
      </c>
      <c r="M146" s="98">
        <v>1</v>
      </c>
      <c r="N146" s="98">
        <v>2</v>
      </c>
      <c r="O146" s="98">
        <v>3</v>
      </c>
      <c r="P146" s="98">
        <v>4</v>
      </c>
      <c r="S146" s="47"/>
      <c r="T146" s="98">
        <v>0</v>
      </c>
      <c r="U146" s="98">
        <v>1</v>
      </c>
      <c r="V146" s="98">
        <v>2</v>
      </c>
      <c r="W146" s="98">
        <v>3</v>
      </c>
      <c r="X146" s="98">
        <v>4</v>
      </c>
      <c r="AA146" s="47"/>
      <c r="AB146" s="98">
        <v>0</v>
      </c>
      <c r="AC146" s="98">
        <v>1</v>
      </c>
      <c r="AD146" s="98">
        <v>2</v>
      </c>
      <c r="AE146" s="98">
        <v>3</v>
      </c>
      <c r="AF146" s="98">
        <v>4</v>
      </c>
      <c r="AI146" s="47"/>
      <c r="AJ146" s="98">
        <v>0</v>
      </c>
      <c r="AK146" s="98">
        <v>1</v>
      </c>
      <c r="AL146" s="98">
        <v>2</v>
      </c>
      <c r="AM146" s="98">
        <v>3</v>
      </c>
      <c r="AN146" s="98">
        <v>4</v>
      </c>
      <c r="AQ146" s="47"/>
      <c r="AR146" s="98">
        <v>0</v>
      </c>
      <c r="AS146" s="98">
        <v>1</v>
      </c>
      <c r="AT146" s="98">
        <v>2</v>
      </c>
      <c r="AU146" s="98">
        <v>3</v>
      </c>
      <c r="AV146" s="98">
        <v>4</v>
      </c>
      <c r="AY146" s="47"/>
      <c r="AZ146" s="98">
        <v>0</v>
      </c>
      <c r="BA146" s="98">
        <v>1</v>
      </c>
      <c r="BB146" s="98">
        <v>2</v>
      </c>
      <c r="BC146" s="98">
        <v>3</v>
      </c>
      <c r="BD146" s="98">
        <v>4</v>
      </c>
    </row>
    <row r="147" spans="1:56" x14ac:dyDescent="0.3">
      <c r="A147" s="110">
        <v>13</v>
      </c>
      <c r="B147" s="110"/>
      <c r="C147" s="98">
        <v>1</v>
      </c>
      <c r="D147" s="42">
        <v>36</v>
      </c>
      <c r="E147" s="42" t="s">
        <v>29</v>
      </c>
      <c r="F147" s="42" t="s">
        <v>29</v>
      </c>
      <c r="G147" s="42" t="s">
        <v>29</v>
      </c>
      <c r="H147" s="42" t="s">
        <v>29</v>
      </c>
      <c r="K147" s="98">
        <v>1</v>
      </c>
      <c r="L147" s="42">
        <v>72</v>
      </c>
      <c r="M147" s="42" t="s">
        <v>29</v>
      </c>
      <c r="N147" s="42" t="s">
        <v>29</v>
      </c>
      <c r="O147" s="42" t="s">
        <v>29</v>
      </c>
      <c r="P147" s="42" t="s">
        <v>29</v>
      </c>
      <c r="S147" s="98">
        <v>1</v>
      </c>
      <c r="T147" s="42">
        <v>180</v>
      </c>
      <c r="U147" s="42" t="s">
        <v>29</v>
      </c>
      <c r="V147" s="42" t="s">
        <v>29</v>
      </c>
      <c r="W147" s="42" t="s">
        <v>29</v>
      </c>
      <c r="X147" s="42" t="s">
        <v>29</v>
      </c>
      <c r="AA147" s="98">
        <v>1</v>
      </c>
      <c r="AB147" s="42">
        <v>500</v>
      </c>
      <c r="AC147" s="42" t="s">
        <v>29</v>
      </c>
      <c r="AD147" s="42" t="s">
        <v>29</v>
      </c>
      <c r="AE147" s="42" t="s">
        <v>29</v>
      </c>
      <c r="AF147" s="42" t="s">
        <v>29</v>
      </c>
      <c r="AI147" s="98">
        <v>1</v>
      </c>
      <c r="AJ147" s="42">
        <v>1400</v>
      </c>
      <c r="AK147" s="42" t="s">
        <v>29</v>
      </c>
      <c r="AL147" s="42" t="s">
        <v>29</v>
      </c>
      <c r="AM147" s="42" t="s">
        <v>29</v>
      </c>
      <c r="AN147" s="42" t="s">
        <v>29</v>
      </c>
      <c r="AQ147" s="98">
        <v>1</v>
      </c>
      <c r="AR147" s="42">
        <v>1750</v>
      </c>
      <c r="AS147" s="42" t="s">
        <v>29</v>
      </c>
      <c r="AT147" s="42" t="s">
        <v>29</v>
      </c>
      <c r="AU147" s="42" t="s">
        <v>29</v>
      </c>
      <c r="AV147" s="42" t="s">
        <v>29</v>
      </c>
      <c r="AY147" s="98">
        <v>1</v>
      </c>
      <c r="AZ147" s="42">
        <v>2100</v>
      </c>
      <c r="BA147" s="42" t="s">
        <v>29</v>
      </c>
      <c r="BB147" s="42" t="s">
        <v>29</v>
      </c>
      <c r="BC147" s="42" t="s">
        <v>29</v>
      </c>
      <c r="BD147" s="42" t="s">
        <v>29</v>
      </c>
    </row>
    <row r="148" spans="1:56" x14ac:dyDescent="0.3">
      <c r="A148" s="110"/>
      <c r="B148" s="110"/>
      <c r="C148" s="98">
        <v>2</v>
      </c>
      <c r="D148" s="42">
        <v>36</v>
      </c>
      <c r="E148" s="42">
        <v>15</v>
      </c>
      <c r="F148" s="42" t="s">
        <v>29</v>
      </c>
      <c r="G148" s="42" t="s">
        <v>29</v>
      </c>
      <c r="H148" s="42" t="s">
        <v>29</v>
      </c>
      <c r="I148" s="4"/>
      <c r="J148" s="4"/>
      <c r="K148" s="98">
        <v>2</v>
      </c>
      <c r="L148" s="42">
        <v>72</v>
      </c>
      <c r="M148" s="42">
        <v>31</v>
      </c>
      <c r="N148" s="42" t="s">
        <v>29</v>
      </c>
      <c r="O148" s="42" t="s">
        <v>29</v>
      </c>
      <c r="P148" s="42" t="s">
        <v>29</v>
      </c>
      <c r="S148" s="98">
        <v>2</v>
      </c>
      <c r="T148" s="42">
        <v>180</v>
      </c>
      <c r="U148" s="42">
        <v>78</v>
      </c>
      <c r="V148" s="42" t="s">
        <v>29</v>
      </c>
      <c r="W148" s="42" t="s">
        <v>29</v>
      </c>
      <c r="X148" s="42" t="s">
        <v>29</v>
      </c>
      <c r="AA148" s="98">
        <v>2</v>
      </c>
      <c r="AB148" s="42">
        <v>500</v>
      </c>
      <c r="AC148" s="42">
        <v>218</v>
      </c>
      <c r="AD148" s="42" t="s">
        <v>29</v>
      </c>
      <c r="AE148" s="42" t="s">
        <v>29</v>
      </c>
      <c r="AF148" s="42" t="s">
        <v>29</v>
      </c>
      <c r="AI148" s="98">
        <v>2</v>
      </c>
      <c r="AJ148" s="42">
        <v>1400</v>
      </c>
      <c r="AK148" s="42">
        <v>612</v>
      </c>
      <c r="AL148" s="42" t="s">
        <v>29</v>
      </c>
      <c r="AM148" s="42" t="s">
        <v>29</v>
      </c>
      <c r="AN148" s="42" t="s">
        <v>29</v>
      </c>
      <c r="AQ148" s="98">
        <v>2</v>
      </c>
      <c r="AR148" s="42">
        <v>1750</v>
      </c>
      <c r="AS148" s="42">
        <v>765</v>
      </c>
      <c r="AT148" s="42" t="s">
        <v>29</v>
      </c>
      <c r="AU148" s="42" t="s">
        <v>29</v>
      </c>
      <c r="AV148" s="42" t="s">
        <v>29</v>
      </c>
      <c r="AY148" s="98">
        <v>2</v>
      </c>
      <c r="AZ148" s="42">
        <v>2100</v>
      </c>
      <c r="BA148" s="42">
        <v>918</v>
      </c>
      <c r="BB148" s="42" t="s">
        <v>29</v>
      </c>
      <c r="BC148" s="42" t="s">
        <v>29</v>
      </c>
      <c r="BD148" s="42" t="s">
        <v>29</v>
      </c>
    </row>
    <row r="149" spans="1:56" x14ac:dyDescent="0.3">
      <c r="A149" s="110"/>
      <c r="B149" s="110"/>
      <c r="C149" s="98">
        <v>3</v>
      </c>
      <c r="D149" s="42">
        <v>36</v>
      </c>
      <c r="E149" s="42">
        <v>20</v>
      </c>
      <c r="F149" s="42" t="s">
        <v>29</v>
      </c>
      <c r="G149" s="42" t="s">
        <v>29</v>
      </c>
      <c r="H149" s="42" t="s">
        <v>29</v>
      </c>
      <c r="I149" s="4"/>
      <c r="J149" s="4"/>
      <c r="K149" s="98">
        <v>3</v>
      </c>
      <c r="L149" s="42">
        <v>72</v>
      </c>
      <c r="M149" s="42">
        <v>42</v>
      </c>
      <c r="N149" s="42" t="s">
        <v>29</v>
      </c>
      <c r="O149" s="42" t="s">
        <v>29</v>
      </c>
      <c r="P149" s="42" t="s">
        <v>29</v>
      </c>
      <c r="S149" s="98">
        <v>3</v>
      </c>
      <c r="T149" s="42">
        <v>180</v>
      </c>
      <c r="U149" s="42">
        <v>104</v>
      </c>
      <c r="V149" s="42" t="s">
        <v>29</v>
      </c>
      <c r="W149" s="42" t="s">
        <v>29</v>
      </c>
      <c r="X149" s="42" t="s">
        <v>29</v>
      </c>
      <c r="AA149" s="98">
        <v>3</v>
      </c>
      <c r="AB149" s="42">
        <v>498</v>
      </c>
      <c r="AC149" s="42">
        <v>290</v>
      </c>
      <c r="AD149" s="42" t="s">
        <v>29</v>
      </c>
      <c r="AE149" s="42" t="s">
        <v>29</v>
      </c>
      <c r="AF149" s="42" t="s">
        <v>29</v>
      </c>
      <c r="AI149" s="98">
        <v>3</v>
      </c>
      <c r="AJ149" s="42">
        <v>1398</v>
      </c>
      <c r="AK149" s="42">
        <v>816</v>
      </c>
      <c r="AL149" s="42" t="s">
        <v>29</v>
      </c>
      <c r="AM149" s="42" t="s">
        <v>29</v>
      </c>
      <c r="AN149" s="42" t="s">
        <v>29</v>
      </c>
      <c r="AQ149" s="98">
        <v>3</v>
      </c>
      <c r="AR149" s="42">
        <v>1749</v>
      </c>
      <c r="AS149" s="42">
        <v>1020</v>
      </c>
      <c r="AT149" s="42" t="s">
        <v>29</v>
      </c>
      <c r="AU149" s="42" t="s">
        <v>29</v>
      </c>
      <c r="AV149" s="42" t="s">
        <v>29</v>
      </c>
      <c r="AY149" s="98">
        <v>3</v>
      </c>
      <c r="AZ149" s="42">
        <v>2100</v>
      </c>
      <c r="BA149" s="42">
        <v>1224</v>
      </c>
      <c r="BB149" s="42" t="s">
        <v>29</v>
      </c>
      <c r="BC149" s="42" t="s">
        <v>29</v>
      </c>
      <c r="BD149" s="42" t="s">
        <v>29</v>
      </c>
    </row>
    <row r="150" spans="1:56" x14ac:dyDescent="0.3">
      <c r="A150" s="110"/>
      <c r="B150" s="110"/>
      <c r="C150" s="98">
        <v>4</v>
      </c>
      <c r="D150" s="42">
        <v>36</v>
      </c>
      <c r="E150" s="42">
        <v>21</v>
      </c>
      <c r="F150" s="42">
        <v>12</v>
      </c>
      <c r="G150" s="42" t="s">
        <v>29</v>
      </c>
      <c r="H150" s="42" t="s">
        <v>29</v>
      </c>
      <c r="I150" s="41"/>
      <c r="J150" s="41"/>
      <c r="K150" s="98">
        <v>4</v>
      </c>
      <c r="L150" s="42">
        <v>72</v>
      </c>
      <c r="M150" s="42">
        <v>45</v>
      </c>
      <c r="N150" s="42">
        <v>26</v>
      </c>
      <c r="O150" s="42" t="s">
        <v>29</v>
      </c>
      <c r="P150" s="42" t="s">
        <v>29</v>
      </c>
      <c r="S150" s="98">
        <v>4</v>
      </c>
      <c r="T150" s="42">
        <v>180</v>
      </c>
      <c r="U150" s="42">
        <v>117</v>
      </c>
      <c r="V150" s="42">
        <v>66</v>
      </c>
      <c r="W150" s="42" t="s">
        <v>29</v>
      </c>
      <c r="X150" s="42" t="s">
        <v>29</v>
      </c>
      <c r="AA150" s="98">
        <v>4</v>
      </c>
      <c r="AB150" s="42">
        <v>500</v>
      </c>
      <c r="AC150" s="42">
        <v>327</v>
      </c>
      <c r="AD150" s="42">
        <v>186</v>
      </c>
      <c r="AE150" s="42" t="s">
        <v>29</v>
      </c>
      <c r="AF150" s="42" t="s">
        <v>29</v>
      </c>
      <c r="AI150" s="98">
        <v>4</v>
      </c>
      <c r="AJ150" s="42">
        <v>1400</v>
      </c>
      <c r="AK150" s="42">
        <v>918</v>
      </c>
      <c r="AL150" s="42">
        <v>524</v>
      </c>
      <c r="AM150" s="42" t="s">
        <v>29</v>
      </c>
      <c r="AN150" s="42" t="s">
        <v>29</v>
      </c>
      <c r="AQ150" s="98">
        <v>4</v>
      </c>
      <c r="AR150" s="42">
        <v>1748</v>
      </c>
      <c r="AS150" s="42">
        <v>1146</v>
      </c>
      <c r="AT150" s="42">
        <v>656</v>
      </c>
      <c r="AU150" s="42" t="s">
        <v>29</v>
      </c>
      <c r="AV150" s="42" t="s">
        <v>29</v>
      </c>
      <c r="AY150" s="98">
        <v>4</v>
      </c>
      <c r="AZ150" s="42">
        <v>2100</v>
      </c>
      <c r="BA150" s="42">
        <v>1377</v>
      </c>
      <c r="BB150" s="42">
        <v>786</v>
      </c>
      <c r="BC150" s="42" t="s">
        <v>29</v>
      </c>
      <c r="BD150" s="42" t="s">
        <v>29</v>
      </c>
    </row>
    <row r="151" spans="1:56" x14ac:dyDescent="0.3">
      <c r="A151" s="110"/>
      <c r="B151" s="110"/>
      <c r="C151" s="98">
        <v>5</v>
      </c>
      <c r="D151" s="42">
        <v>35</v>
      </c>
      <c r="E151" s="42">
        <v>24</v>
      </c>
      <c r="F151" s="42">
        <v>15</v>
      </c>
      <c r="G151" s="42" t="s">
        <v>29</v>
      </c>
      <c r="H151" s="42" t="s">
        <v>29</v>
      </c>
      <c r="I151" s="41"/>
      <c r="J151" s="41"/>
      <c r="K151" s="98">
        <v>5</v>
      </c>
      <c r="L151" s="42">
        <v>70</v>
      </c>
      <c r="M151" s="42">
        <v>48</v>
      </c>
      <c r="N151" s="42">
        <v>30</v>
      </c>
      <c r="O151" s="42" t="s">
        <v>29</v>
      </c>
      <c r="P151" s="42" t="s">
        <v>29</v>
      </c>
      <c r="S151" s="98">
        <v>5</v>
      </c>
      <c r="T151" s="42">
        <v>180</v>
      </c>
      <c r="U151" s="42">
        <v>124</v>
      </c>
      <c r="V151" s="42">
        <v>81</v>
      </c>
      <c r="W151" s="42" t="s">
        <v>29</v>
      </c>
      <c r="X151" s="42" t="s">
        <v>29</v>
      </c>
      <c r="AA151" s="98">
        <v>5</v>
      </c>
      <c r="AB151" s="42">
        <v>500</v>
      </c>
      <c r="AC151" s="42">
        <v>348</v>
      </c>
      <c r="AD151" s="42">
        <v>225</v>
      </c>
      <c r="AE151" s="42" t="s">
        <v>29</v>
      </c>
      <c r="AF151" s="42" t="s">
        <v>29</v>
      </c>
      <c r="AI151" s="98">
        <v>5</v>
      </c>
      <c r="AJ151" s="42">
        <v>1400</v>
      </c>
      <c r="AK151" s="42">
        <v>980</v>
      </c>
      <c r="AL151" s="42">
        <v>630</v>
      </c>
      <c r="AM151" s="42" t="s">
        <v>29</v>
      </c>
      <c r="AN151" s="42" t="s">
        <v>29</v>
      </c>
      <c r="AQ151" s="98">
        <v>5</v>
      </c>
      <c r="AR151" s="42">
        <v>1750</v>
      </c>
      <c r="AS151" s="42">
        <v>1224</v>
      </c>
      <c r="AT151" s="42">
        <v>786</v>
      </c>
      <c r="AU151" s="42" t="s">
        <v>29</v>
      </c>
      <c r="AV151" s="42" t="s">
        <v>29</v>
      </c>
      <c r="AY151" s="98">
        <v>5</v>
      </c>
      <c r="AZ151" s="42">
        <v>2100</v>
      </c>
      <c r="BA151" s="42">
        <v>1468</v>
      </c>
      <c r="BB151" s="42">
        <v>945</v>
      </c>
      <c r="BC151" s="42" t="s">
        <v>29</v>
      </c>
      <c r="BD151" s="42" t="s">
        <v>29</v>
      </c>
    </row>
    <row r="152" spans="1:56" x14ac:dyDescent="0.3">
      <c r="A152" s="110"/>
      <c r="B152" s="110"/>
      <c r="C152" s="98">
        <v>6</v>
      </c>
      <c r="D152" s="42">
        <v>36</v>
      </c>
      <c r="E152" s="42">
        <v>25</v>
      </c>
      <c r="F152" s="42">
        <v>16</v>
      </c>
      <c r="G152" s="42">
        <v>9</v>
      </c>
      <c r="H152" s="42" t="s">
        <v>29</v>
      </c>
      <c r="I152" s="41"/>
      <c r="J152" s="41"/>
      <c r="K152" s="98">
        <v>6</v>
      </c>
      <c r="L152" s="42">
        <v>72</v>
      </c>
      <c r="M152" s="42">
        <v>50</v>
      </c>
      <c r="N152" s="42">
        <v>36</v>
      </c>
      <c r="O152" s="42">
        <v>21</v>
      </c>
      <c r="P152" s="42" t="s">
        <v>29</v>
      </c>
      <c r="S152" s="98">
        <v>6</v>
      </c>
      <c r="T152" s="42">
        <v>180</v>
      </c>
      <c r="U152" s="42">
        <v>130</v>
      </c>
      <c r="V152" s="42">
        <v>88</v>
      </c>
      <c r="W152" s="42">
        <v>54</v>
      </c>
      <c r="X152" s="42" t="s">
        <v>29</v>
      </c>
      <c r="AA152" s="98">
        <v>6</v>
      </c>
      <c r="AB152" s="42">
        <v>498</v>
      </c>
      <c r="AC152" s="42">
        <v>360</v>
      </c>
      <c r="AD152" s="42">
        <v>248</v>
      </c>
      <c r="AE152" s="42">
        <v>156</v>
      </c>
      <c r="AF152" s="42" t="s">
        <v>29</v>
      </c>
      <c r="AI152" s="98">
        <v>6</v>
      </c>
      <c r="AJ152" s="42">
        <v>1398</v>
      </c>
      <c r="AK152" s="42">
        <v>1020</v>
      </c>
      <c r="AL152" s="42">
        <v>700</v>
      </c>
      <c r="AM152" s="42">
        <v>435</v>
      </c>
      <c r="AN152" s="42" t="s">
        <v>29</v>
      </c>
      <c r="AQ152" s="98">
        <v>6</v>
      </c>
      <c r="AR152" s="42">
        <v>1746</v>
      </c>
      <c r="AS152" s="42">
        <v>2555</v>
      </c>
      <c r="AT152" s="42">
        <v>872</v>
      </c>
      <c r="AU152" s="42">
        <v>546</v>
      </c>
      <c r="AV152" s="42" t="s">
        <v>29</v>
      </c>
      <c r="AY152" s="98">
        <v>6</v>
      </c>
      <c r="AZ152" s="42">
        <v>2100</v>
      </c>
      <c r="BA152" s="42">
        <v>1530</v>
      </c>
      <c r="BB152" s="42">
        <v>1048</v>
      </c>
      <c r="BC152" s="42">
        <v>654</v>
      </c>
      <c r="BD152" s="42" t="s">
        <v>29</v>
      </c>
    </row>
    <row r="153" spans="1:56" x14ac:dyDescent="0.3">
      <c r="A153" s="110"/>
      <c r="B153" s="110"/>
      <c r="C153" s="98">
        <v>7</v>
      </c>
      <c r="D153" s="42">
        <v>35</v>
      </c>
      <c r="E153" s="42">
        <v>24</v>
      </c>
      <c r="F153" s="42">
        <v>15</v>
      </c>
      <c r="G153" s="42">
        <v>12</v>
      </c>
      <c r="H153" s="42" t="s">
        <v>29</v>
      </c>
      <c r="I153" s="41"/>
      <c r="J153" s="41"/>
      <c r="K153" s="98">
        <v>7</v>
      </c>
      <c r="L153" s="42">
        <v>70</v>
      </c>
      <c r="M153" s="42">
        <v>54</v>
      </c>
      <c r="N153" s="42">
        <v>35</v>
      </c>
      <c r="O153" s="42">
        <v>24</v>
      </c>
      <c r="P153" s="42" t="s">
        <v>29</v>
      </c>
      <c r="S153" s="98">
        <v>7</v>
      </c>
      <c r="T153" s="42">
        <v>175</v>
      </c>
      <c r="U153" s="42">
        <v>132</v>
      </c>
      <c r="V153" s="42">
        <v>95</v>
      </c>
      <c r="W153" s="42">
        <v>64</v>
      </c>
      <c r="X153" s="42" t="s">
        <v>29</v>
      </c>
      <c r="AA153" s="98">
        <v>7</v>
      </c>
      <c r="AB153" s="42">
        <v>497</v>
      </c>
      <c r="AC153" s="42">
        <v>372</v>
      </c>
      <c r="AD153" s="42">
        <v>265</v>
      </c>
      <c r="AE153" s="42">
        <v>176</v>
      </c>
      <c r="AF153" s="42" t="s">
        <v>29</v>
      </c>
      <c r="AI153" s="98">
        <v>7</v>
      </c>
      <c r="AJ153" s="42">
        <v>1400</v>
      </c>
      <c r="AK153" s="42">
        <v>1050</v>
      </c>
      <c r="AL153" s="42">
        <v>750</v>
      </c>
      <c r="AM153" s="42">
        <v>500</v>
      </c>
      <c r="AN153" s="42" t="s">
        <v>29</v>
      </c>
      <c r="AQ153" s="98">
        <v>7</v>
      </c>
      <c r="AR153" s="42">
        <v>1750</v>
      </c>
      <c r="AS153" s="42">
        <v>1308</v>
      </c>
      <c r="AT153" s="42">
        <v>935</v>
      </c>
      <c r="AU153" s="42">
        <v>624</v>
      </c>
      <c r="AV153" s="42" t="s">
        <v>29</v>
      </c>
      <c r="AY153" s="98">
        <v>7</v>
      </c>
      <c r="AZ153" s="42">
        <v>2100</v>
      </c>
      <c r="BA153" s="42">
        <v>1572</v>
      </c>
      <c r="BB153" s="42">
        <v>1125</v>
      </c>
      <c r="BC153" s="42">
        <v>748</v>
      </c>
      <c r="BD153" s="42" t="s">
        <v>29</v>
      </c>
    </row>
    <row r="154" spans="1:56" x14ac:dyDescent="0.3">
      <c r="A154" s="110"/>
      <c r="B154" s="110"/>
      <c r="C154" s="98">
        <v>8</v>
      </c>
      <c r="D154" s="42">
        <v>32</v>
      </c>
      <c r="E154" s="42">
        <v>21</v>
      </c>
      <c r="F154" s="42">
        <v>18</v>
      </c>
      <c r="G154" s="42">
        <v>10</v>
      </c>
      <c r="H154" s="42">
        <v>8</v>
      </c>
      <c r="I154" s="41"/>
      <c r="J154" s="41"/>
      <c r="K154" s="98">
        <v>8</v>
      </c>
      <c r="L154" s="42">
        <v>72</v>
      </c>
      <c r="M154" s="42">
        <v>49</v>
      </c>
      <c r="N154" s="42">
        <v>36</v>
      </c>
      <c r="O154" s="42">
        <v>25</v>
      </c>
      <c r="P154" s="42">
        <v>16</v>
      </c>
      <c r="S154" s="98">
        <v>8</v>
      </c>
      <c r="T154" s="42">
        <v>176</v>
      </c>
      <c r="U154" s="42">
        <v>133</v>
      </c>
      <c r="V154" s="42">
        <v>96</v>
      </c>
      <c r="W154" s="42">
        <v>70</v>
      </c>
      <c r="X154" s="42">
        <v>44</v>
      </c>
      <c r="AA154" s="98">
        <v>8</v>
      </c>
      <c r="AB154" s="42">
        <v>496</v>
      </c>
      <c r="AC154" s="42">
        <v>378</v>
      </c>
      <c r="AD154" s="42">
        <v>276</v>
      </c>
      <c r="AE154" s="42">
        <v>195</v>
      </c>
      <c r="AF154" s="42">
        <v>124</v>
      </c>
      <c r="AI154" s="98">
        <v>8</v>
      </c>
      <c r="AJ154" s="42">
        <v>1400</v>
      </c>
      <c r="AK154" s="42">
        <v>1071</v>
      </c>
      <c r="AL154" s="42">
        <v>786</v>
      </c>
      <c r="AM154" s="42">
        <v>545</v>
      </c>
      <c r="AN154" s="42">
        <v>348</v>
      </c>
      <c r="AQ154" s="98">
        <v>8</v>
      </c>
      <c r="AR154" s="42">
        <v>1744</v>
      </c>
      <c r="AS154" s="42">
        <v>1337</v>
      </c>
      <c r="AT154" s="42">
        <v>984</v>
      </c>
      <c r="AU154" s="42">
        <v>680</v>
      </c>
      <c r="AV154" s="42">
        <v>436</v>
      </c>
      <c r="AY154" s="98">
        <v>8</v>
      </c>
      <c r="AZ154" s="42">
        <v>2096</v>
      </c>
      <c r="BA154" s="42">
        <v>1603</v>
      </c>
      <c r="BB154" s="42">
        <v>1176</v>
      </c>
      <c r="BC154" s="42">
        <v>820</v>
      </c>
      <c r="BD154" s="42">
        <v>524</v>
      </c>
    </row>
    <row r="155" spans="1:56" x14ac:dyDescent="0.3">
      <c r="A155" s="110"/>
      <c r="B155" s="110"/>
      <c r="C155" s="98">
        <v>9</v>
      </c>
      <c r="D155" s="42">
        <v>36</v>
      </c>
      <c r="E155" s="42">
        <v>24</v>
      </c>
      <c r="F155" s="42">
        <v>21</v>
      </c>
      <c r="G155" s="42">
        <v>12</v>
      </c>
      <c r="H155" s="42">
        <v>10</v>
      </c>
      <c r="I155" s="41"/>
      <c r="J155" s="41"/>
      <c r="K155" s="98">
        <v>9</v>
      </c>
      <c r="L155" s="42">
        <v>72</v>
      </c>
      <c r="M155" s="42">
        <v>56</v>
      </c>
      <c r="N155" s="42">
        <v>42</v>
      </c>
      <c r="O155" s="42">
        <v>30</v>
      </c>
      <c r="P155" s="42">
        <v>20</v>
      </c>
      <c r="S155" s="98">
        <v>9</v>
      </c>
      <c r="T155" s="42">
        <v>180</v>
      </c>
      <c r="U155" s="42">
        <v>136</v>
      </c>
      <c r="V155" s="42">
        <v>105</v>
      </c>
      <c r="W155" s="42">
        <v>72</v>
      </c>
      <c r="X155" s="42">
        <v>50</v>
      </c>
      <c r="AA155" s="98">
        <v>9</v>
      </c>
      <c r="AB155" s="42">
        <v>495</v>
      </c>
      <c r="AC155" s="42">
        <v>384</v>
      </c>
      <c r="AD155" s="42">
        <v>287</v>
      </c>
      <c r="AE155" s="42">
        <v>204</v>
      </c>
      <c r="AF155" s="42">
        <v>135</v>
      </c>
      <c r="AI155" s="98">
        <v>9</v>
      </c>
      <c r="AJ155" s="42">
        <v>1395</v>
      </c>
      <c r="AK155" s="42">
        <v>1088</v>
      </c>
      <c r="AL155" s="42">
        <v>812</v>
      </c>
      <c r="AM155" s="42">
        <v>582</v>
      </c>
      <c r="AN155" s="42">
        <v>385</v>
      </c>
      <c r="AQ155" s="98">
        <v>9</v>
      </c>
      <c r="AR155" s="42">
        <v>1746</v>
      </c>
      <c r="AS155" s="42">
        <v>1360</v>
      </c>
      <c r="AT155" s="42">
        <v>1015</v>
      </c>
      <c r="AU155" s="42">
        <v>726</v>
      </c>
      <c r="AV155" s="42">
        <v>485</v>
      </c>
      <c r="AY155" s="98">
        <v>9</v>
      </c>
      <c r="AZ155" s="42">
        <v>2097</v>
      </c>
      <c r="BA155" s="42">
        <v>1632</v>
      </c>
      <c r="BB155" s="42">
        <v>1225</v>
      </c>
      <c r="BC155" s="42">
        <v>870</v>
      </c>
      <c r="BD155" s="42">
        <v>580</v>
      </c>
    </row>
    <row r="157" spans="1:56" ht="15" x14ac:dyDescent="0.25">
      <c r="D157" s="109" t="s">
        <v>31</v>
      </c>
      <c r="E157" s="109"/>
      <c r="F157" s="109"/>
      <c r="G157" s="109"/>
      <c r="H157" s="109"/>
      <c r="L157" s="109" t="s">
        <v>30</v>
      </c>
      <c r="M157" s="109"/>
      <c r="N157" s="109"/>
      <c r="O157" s="109"/>
      <c r="P157" s="109"/>
      <c r="T157" s="109" t="s">
        <v>32</v>
      </c>
      <c r="U157" s="109"/>
      <c r="V157" s="109"/>
      <c r="W157" s="109"/>
      <c r="X157" s="109"/>
      <c r="AB157" s="109" t="s">
        <v>33</v>
      </c>
      <c r="AC157" s="109"/>
      <c r="AD157" s="109"/>
      <c r="AE157" s="109"/>
      <c r="AF157" s="109"/>
      <c r="AJ157" s="109" t="s">
        <v>34</v>
      </c>
      <c r="AK157" s="109"/>
      <c r="AL157" s="109"/>
      <c r="AM157" s="109"/>
      <c r="AN157" s="109"/>
      <c r="AR157" s="109" t="s">
        <v>35</v>
      </c>
      <c r="AS157" s="109"/>
      <c r="AT157" s="109"/>
      <c r="AU157" s="109"/>
      <c r="AV157" s="109"/>
      <c r="AZ157" s="109" t="s">
        <v>36</v>
      </c>
      <c r="BA157" s="109"/>
      <c r="BB157" s="109"/>
      <c r="BC157" s="109"/>
      <c r="BD157" s="109"/>
    </row>
    <row r="158" spans="1:56" ht="15" x14ac:dyDescent="0.25">
      <c r="C158" s="47"/>
      <c r="D158" s="68">
        <v>0</v>
      </c>
      <c r="E158" s="68">
        <v>1</v>
      </c>
      <c r="F158" s="68">
        <v>2</v>
      </c>
      <c r="G158" s="68">
        <v>3</v>
      </c>
      <c r="H158" s="68">
        <v>4</v>
      </c>
      <c r="K158" s="47"/>
      <c r="L158" s="68">
        <v>0</v>
      </c>
      <c r="M158" s="68">
        <v>1</v>
      </c>
      <c r="N158" s="68">
        <v>2</v>
      </c>
      <c r="O158" s="68">
        <v>3</v>
      </c>
      <c r="P158" s="68">
        <v>4</v>
      </c>
      <c r="S158" s="47"/>
      <c r="T158" s="98">
        <v>0</v>
      </c>
      <c r="U158" s="98">
        <v>1</v>
      </c>
      <c r="V158" s="98">
        <v>2</v>
      </c>
      <c r="W158" s="98">
        <v>3</v>
      </c>
      <c r="X158" s="98">
        <v>4</v>
      </c>
      <c r="AA158" s="47"/>
      <c r="AB158" s="98">
        <v>0</v>
      </c>
      <c r="AC158" s="98">
        <v>1</v>
      </c>
      <c r="AD158" s="98">
        <v>2</v>
      </c>
      <c r="AE158" s="98">
        <v>3</v>
      </c>
      <c r="AF158" s="98">
        <v>4</v>
      </c>
      <c r="AI158" s="47"/>
      <c r="AJ158" s="98">
        <v>0</v>
      </c>
      <c r="AK158" s="98">
        <v>1</v>
      </c>
      <c r="AL158" s="98">
        <v>2</v>
      </c>
      <c r="AM158" s="98">
        <v>3</v>
      </c>
      <c r="AN158" s="98">
        <v>4</v>
      </c>
      <c r="AQ158" s="47"/>
      <c r="AR158" s="98">
        <v>0</v>
      </c>
      <c r="AS158" s="98">
        <v>1</v>
      </c>
      <c r="AT158" s="98">
        <v>2</v>
      </c>
      <c r="AU158" s="98">
        <v>3</v>
      </c>
      <c r="AV158" s="98">
        <v>4</v>
      </c>
      <c r="AY158" s="47"/>
      <c r="AZ158" s="98">
        <v>0</v>
      </c>
      <c r="BA158" s="98">
        <v>1</v>
      </c>
      <c r="BB158" s="98">
        <v>2</v>
      </c>
      <c r="BC158" s="98">
        <v>3</v>
      </c>
      <c r="BD158" s="98">
        <v>4</v>
      </c>
    </row>
    <row r="159" spans="1:56" x14ac:dyDescent="0.3">
      <c r="A159" s="110">
        <v>14</v>
      </c>
      <c r="B159" s="110"/>
      <c r="C159" s="68">
        <v>1</v>
      </c>
      <c r="D159" s="42">
        <v>40</v>
      </c>
      <c r="E159" s="42" t="s">
        <v>29</v>
      </c>
      <c r="F159" s="42" t="s">
        <v>29</v>
      </c>
      <c r="G159" s="42" t="s">
        <v>29</v>
      </c>
      <c r="H159" s="42" t="s">
        <v>29</v>
      </c>
      <c r="K159" s="68">
        <v>1</v>
      </c>
      <c r="L159" s="42">
        <v>80</v>
      </c>
      <c r="M159" s="42" t="s">
        <v>29</v>
      </c>
      <c r="N159" s="42" t="s">
        <v>29</v>
      </c>
      <c r="O159" s="42" t="s">
        <v>29</v>
      </c>
      <c r="P159" s="42" t="s">
        <v>29</v>
      </c>
      <c r="S159" s="98">
        <v>1</v>
      </c>
      <c r="T159" s="42">
        <v>200</v>
      </c>
      <c r="U159" s="42" t="s">
        <v>29</v>
      </c>
      <c r="V159" s="42" t="s">
        <v>29</v>
      </c>
      <c r="W159" s="42" t="s">
        <v>29</v>
      </c>
      <c r="X159" s="42" t="s">
        <v>29</v>
      </c>
      <c r="AA159" s="98">
        <v>1</v>
      </c>
      <c r="AB159" s="42">
        <v>600</v>
      </c>
      <c r="AC159" s="42" t="s">
        <v>29</v>
      </c>
      <c r="AD159" s="42" t="s">
        <v>29</v>
      </c>
      <c r="AE159" s="42" t="s">
        <v>29</v>
      </c>
      <c r="AF159" s="42" t="s">
        <v>29</v>
      </c>
      <c r="AI159" s="98">
        <v>1</v>
      </c>
      <c r="AJ159" s="42">
        <v>1500</v>
      </c>
      <c r="AK159" s="42" t="s">
        <v>29</v>
      </c>
      <c r="AL159" s="42" t="s">
        <v>29</v>
      </c>
      <c r="AM159" s="42" t="s">
        <v>29</v>
      </c>
      <c r="AN159" s="42" t="s">
        <v>29</v>
      </c>
      <c r="AQ159" s="98">
        <v>1</v>
      </c>
      <c r="AR159" s="42">
        <v>1850</v>
      </c>
      <c r="AS159" s="42" t="s">
        <v>29</v>
      </c>
      <c r="AT159" s="42" t="s">
        <v>29</v>
      </c>
      <c r="AU159" s="42" t="s">
        <v>29</v>
      </c>
      <c r="AV159" s="42" t="s">
        <v>29</v>
      </c>
      <c r="AY159" s="98">
        <v>1</v>
      </c>
      <c r="AZ159" s="42">
        <v>2200</v>
      </c>
      <c r="BA159" s="42" t="s">
        <v>29</v>
      </c>
      <c r="BB159" s="42" t="s">
        <v>29</v>
      </c>
      <c r="BC159" s="42" t="s">
        <v>29</v>
      </c>
      <c r="BD159" s="42" t="s">
        <v>29</v>
      </c>
    </row>
    <row r="160" spans="1:56" x14ac:dyDescent="0.3">
      <c r="A160" s="110"/>
      <c r="B160" s="110"/>
      <c r="C160" s="68">
        <v>2</v>
      </c>
      <c r="D160" s="42">
        <v>40</v>
      </c>
      <c r="E160" s="42">
        <v>17</v>
      </c>
      <c r="F160" s="42" t="s">
        <v>29</v>
      </c>
      <c r="G160" s="42" t="s">
        <v>29</v>
      </c>
      <c r="H160" s="42" t="s">
        <v>29</v>
      </c>
      <c r="I160" s="4"/>
      <c r="J160" s="4"/>
      <c r="K160" s="68">
        <v>2</v>
      </c>
      <c r="L160" s="42">
        <v>80</v>
      </c>
      <c r="M160" s="42">
        <v>35</v>
      </c>
      <c r="N160" s="42" t="s">
        <v>29</v>
      </c>
      <c r="O160" s="42" t="s">
        <v>29</v>
      </c>
      <c r="P160" s="42" t="s">
        <v>29</v>
      </c>
      <c r="S160" s="98">
        <v>2</v>
      </c>
      <c r="T160" s="42">
        <v>200</v>
      </c>
      <c r="U160" s="42">
        <v>87</v>
      </c>
      <c r="V160" s="42" t="s">
        <v>29</v>
      </c>
      <c r="W160" s="42" t="s">
        <v>29</v>
      </c>
      <c r="X160" s="42" t="s">
        <v>29</v>
      </c>
      <c r="AA160" s="98">
        <v>2</v>
      </c>
      <c r="AB160" s="42">
        <v>600</v>
      </c>
      <c r="AC160" s="42">
        <v>262</v>
      </c>
      <c r="AD160" s="42" t="s">
        <v>29</v>
      </c>
      <c r="AE160" s="42" t="s">
        <v>29</v>
      </c>
      <c r="AF160" s="42" t="s">
        <v>29</v>
      </c>
      <c r="AI160" s="98">
        <v>2</v>
      </c>
      <c r="AJ160" s="42">
        <v>1500</v>
      </c>
      <c r="AK160" s="42">
        <v>656</v>
      </c>
      <c r="AL160" s="42" t="s">
        <v>29</v>
      </c>
      <c r="AM160" s="42" t="s">
        <v>29</v>
      </c>
      <c r="AN160" s="42" t="s">
        <v>29</v>
      </c>
      <c r="AQ160" s="98">
        <v>2</v>
      </c>
      <c r="AR160" s="42">
        <v>1850</v>
      </c>
      <c r="AS160" s="42">
        <v>809</v>
      </c>
      <c r="AT160" s="42" t="s">
        <v>29</v>
      </c>
      <c r="AU160" s="42" t="s">
        <v>29</v>
      </c>
      <c r="AV160" s="42" t="s">
        <v>29</v>
      </c>
      <c r="AY160" s="98">
        <v>2</v>
      </c>
      <c r="AZ160" s="42">
        <v>2200</v>
      </c>
      <c r="BA160" s="42">
        <v>962</v>
      </c>
      <c r="BB160" s="42" t="s">
        <v>29</v>
      </c>
      <c r="BC160" s="42" t="s">
        <v>29</v>
      </c>
      <c r="BD160" s="42" t="s">
        <v>29</v>
      </c>
    </row>
    <row r="161" spans="1:56" x14ac:dyDescent="0.3">
      <c r="A161" s="110"/>
      <c r="B161" s="110"/>
      <c r="C161" s="68">
        <v>3</v>
      </c>
      <c r="D161" s="42">
        <v>39</v>
      </c>
      <c r="E161" s="42">
        <v>22</v>
      </c>
      <c r="F161" s="42" t="s">
        <v>29</v>
      </c>
      <c r="G161" s="42" t="s">
        <v>29</v>
      </c>
      <c r="H161" s="42" t="s">
        <v>29</v>
      </c>
      <c r="I161" s="4"/>
      <c r="J161" s="4"/>
      <c r="K161" s="68">
        <v>3</v>
      </c>
      <c r="L161" s="42">
        <v>78</v>
      </c>
      <c r="M161" s="42">
        <v>46</v>
      </c>
      <c r="N161" s="42" t="s">
        <v>29</v>
      </c>
      <c r="O161" s="42" t="s">
        <v>29</v>
      </c>
      <c r="P161" s="42" t="s">
        <v>29</v>
      </c>
      <c r="S161" s="98">
        <v>3</v>
      </c>
      <c r="T161" s="42">
        <v>198</v>
      </c>
      <c r="U161" s="42">
        <v>116</v>
      </c>
      <c r="V161" s="42" t="s">
        <v>29</v>
      </c>
      <c r="W161" s="42" t="s">
        <v>29</v>
      </c>
      <c r="X161" s="42" t="s">
        <v>29</v>
      </c>
      <c r="AA161" s="98">
        <v>3</v>
      </c>
      <c r="AB161" s="42">
        <v>600</v>
      </c>
      <c r="AC161" s="42">
        <v>350</v>
      </c>
      <c r="AD161" s="42" t="s">
        <v>29</v>
      </c>
      <c r="AE161" s="42" t="s">
        <v>29</v>
      </c>
      <c r="AF161" s="42" t="s">
        <v>29</v>
      </c>
      <c r="AI161" s="98">
        <v>3</v>
      </c>
      <c r="AJ161" s="42">
        <v>1500</v>
      </c>
      <c r="AK161" s="42">
        <v>874</v>
      </c>
      <c r="AL161" s="42" t="s">
        <v>29</v>
      </c>
      <c r="AM161" s="42" t="s">
        <v>29</v>
      </c>
      <c r="AN161" s="42" t="s">
        <v>29</v>
      </c>
      <c r="AQ161" s="98">
        <v>3</v>
      </c>
      <c r="AR161" s="42">
        <v>1849</v>
      </c>
      <c r="AS161" s="42">
        <v>1078</v>
      </c>
      <c r="AT161" s="42" t="s">
        <v>29</v>
      </c>
      <c r="AU161" s="42" t="s">
        <v>29</v>
      </c>
      <c r="AV161" s="42" t="s">
        <v>29</v>
      </c>
      <c r="AY161" s="98">
        <v>3</v>
      </c>
      <c r="AZ161" s="42">
        <v>2199</v>
      </c>
      <c r="BA161" s="42">
        <v>1282</v>
      </c>
      <c r="BB161" s="42" t="s">
        <v>29</v>
      </c>
      <c r="BC161" s="42" t="s">
        <v>29</v>
      </c>
      <c r="BD161" s="42" t="s">
        <v>29</v>
      </c>
    </row>
    <row r="162" spans="1:56" x14ac:dyDescent="0.3">
      <c r="A162" s="110"/>
      <c r="B162" s="110"/>
      <c r="C162" s="68">
        <v>4</v>
      </c>
      <c r="D162" s="42">
        <v>40</v>
      </c>
      <c r="E162" s="42">
        <v>24</v>
      </c>
      <c r="F162" s="42">
        <v>14</v>
      </c>
      <c r="G162" s="42" t="s">
        <v>29</v>
      </c>
      <c r="H162" s="42" t="s">
        <v>29</v>
      </c>
      <c r="I162" s="41"/>
      <c r="J162" s="41"/>
      <c r="K162" s="68">
        <v>4</v>
      </c>
      <c r="L162" s="42">
        <v>80</v>
      </c>
      <c r="M162" s="42">
        <v>51</v>
      </c>
      <c r="N162" s="42">
        <v>30</v>
      </c>
      <c r="O162" s="42" t="s">
        <v>29</v>
      </c>
      <c r="P162" s="42" t="s">
        <v>29</v>
      </c>
      <c r="S162" s="98">
        <v>4</v>
      </c>
      <c r="T162" s="42">
        <v>200</v>
      </c>
      <c r="U162" s="42">
        <v>129</v>
      </c>
      <c r="V162" s="42">
        <v>74</v>
      </c>
      <c r="W162" s="42" t="s">
        <v>29</v>
      </c>
      <c r="X162" s="42" t="s">
        <v>29</v>
      </c>
      <c r="AA162" s="98">
        <v>4</v>
      </c>
      <c r="AB162" s="42">
        <v>600</v>
      </c>
      <c r="AC162" s="42">
        <v>393</v>
      </c>
      <c r="AD162" s="42">
        <v>224</v>
      </c>
      <c r="AE162" s="42" t="s">
        <v>29</v>
      </c>
      <c r="AF162" s="42" t="s">
        <v>29</v>
      </c>
      <c r="AI162" s="98">
        <v>4</v>
      </c>
      <c r="AJ162" s="42">
        <v>1500</v>
      </c>
      <c r="AK162" s="42">
        <v>984</v>
      </c>
      <c r="AL162" s="42">
        <v>562</v>
      </c>
      <c r="AM162" s="42" t="s">
        <v>29</v>
      </c>
      <c r="AN162" s="42" t="s">
        <v>29</v>
      </c>
      <c r="AQ162" s="98">
        <v>4</v>
      </c>
      <c r="AR162" s="42">
        <v>1848</v>
      </c>
      <c r="AS162" s="42">
        <v>1212</v>
      </c>
      <c r="AT162" s="42">
        <v>692</v>
      </c>
      <c r="AU162" s="42" t="s">
        <v>29</v>
      </c>
      <c r="AV162" s="42" t="s">
        <v>29</v>
      </c>
      <c r="AY162" s="98">
        <v>4</v>
      </c>
      <c r="AZ162" s="42">
        <v>2200</v>
      </c>
      <c r="BA162" s="42">
        <v>1443</v>
      </c>
      <c r="BB162" s="42">
        <v>824</v>
      </c>
      <c r="BC162" s="42" t="s">
        <v>29</v>
      </c>
      <c r="BD162" s="42" t="s">
        <v>29</v>
      </c>
    </row>
    <row r="163" spans="1:56" x14ac:dyDescent="0.3">
      <c r="A163" s="110"/>
      <c r="B163" s="110"/>
      <c r="C163" s="68">
        <v>5</v>
      </c>
      <c r="D163" s="42">
        <v>40</v>
      </c>
      <c r="E163" s="42">
        <v>28</v>
      </c>
      <c r="F163" s="42">
        <v>18</v>
      </c>
      <c r="G163" s="42" t="s">
        <v>29</v>
      </c>
      <c r="H163" s="42" t="s">
        <v>29</v>
      </c>
      <c r="I163" s="41"/>
      <c r="J163" s="41"/>
      <c r="K163" s="68">
        <v>5</v>
      </c>
      <c r="L163" s="42">
        <v>80</v>
      </c>
      <c r="M163" s="42">
        <v>56</v>
      </c>
      <c r="N163" s="42">
        <v>36</v>
      </c>
      <c r="O163" s="42" t="s">
        <v>29</v>
      </c>
      <c r="P163" s="42" t="s">
        <v>29</v>
      </c>
      <c r="S163" s="98">
        <v>5</v>
      </c>
      <c r="T163" s="42">
        <v>200</v>
      </c>
      <c r="U163" s="42">
        <v>140</v>
      </c>
      <c r="V163" s="42">
        <v>90</v>
      </c>
      <c r="W163" s="42" t="s">
        <v>29</v>
      </c>
      <c r="X163" s="42" t="s">
        <v>29</v>
      </c>
      <c r="AA163" s="98">
        <v>5</v>
      </c>
      <c r="AB163" s="42">
        <v>600</v>
      </c>
      <c r="AC163" s="42">
        <v>420</v>
      </c>
      <c r="AD163" s="42">
        <v>270</v>
      </c>
      <c r="AE163" s="42" t="s">
        <v>29</v>
      </c>
      <c r="AF163" s="42" t="s">
        <v>29</v>
      </c>
      <c r="AI163" s="98">
        <v>5</v>
      </c>
      <c r="AJ163" s="42">
        <v>1500</v>
      </c>
      <c r="AK163" s="42">
        <v>1048</v>
      </c>
      <c r="AL163" s="42">
        <v>675</v>
      </c>
      <c r="AM163" s="42" t="s">
        <v>29</v>
      </c>
      <c r="AN163" s="42" t="s">
        <v>29</v>
      </c>
      <c r="AQ163" s="98">
        <v>5</v>
      </c>
      <c r="AR163" s="42">
        <v>1850</v>
      </c>
      <c r="AS163" s="42">
        <v>1292</v>
      </c>
      <c r="AT163" s="42">
        <v>831</v>
      </c>
      <c r="AU163" s="42" t="s">
        <v>29</v>
      </c>
      <c r="AV163" s="42" t="s">
        <v>29</v>
      </c>
      <c r="AY163" s="98">
        <v>5</v>
      </c>
      <c r="AZ163" s="42">
        <v>2200</v>
      </c>
      <c r="BA163" s="42">
        <v>1540</v>
      </c>
      <c r="BB163" s="42">
        <v>990</v>
      </c>
      <c r="BC163" s="42" t="s">
        <v>29</v>
      </c>
      <c r="BD163" s="42" t="s">
        <v>29</v>
      </c>
    </row>
    <row r="164" spans="1:56" x14ac:dyDescent="0.3">
      <c r="A164" s="110"/>
      <c r="B164" s="110"/>
      <c r="C164" s="68">
        <v>6</v>
      </c>
      <c r="D164" s="42">
        <v>36</v>
      </c>
      <c r="E164" s="42">
        <v>25</v>
      </c>
      <c r="F164" s="42">
        <v>20</v>
      </c>
      <c r="G164" s="42">
        <v>12</v>
      </c>
      <c r="H164" s="42" t="s">
        <v>29</v>
      </c>
      <c r="I164" s="41"/>
      <c r="J164" s="41"/>
      <c r="K164" s="68">
        <v>6</v>
      </c>
      <c r="L164" s="42">
        <v>78</v>
      </c>
      <c r="M164" s="42">
        <v>55</v>
      </c>
      <c r="N164" s="42">
        <v>40</v>
      </c>
      <c r="O164" s="42">
        <v>24</v>
      </c>
      <c r="P164" s="42" t="s">
        <v>29</v>
      </c>
      <c r="S164" s="98">
        <v>6</v>
      </c>
      <c r="T164" s="42">
        <v>198</v>
      </c>
      <c r="U164" s="42">
        <v>145</v>
      </c>
      <c r="V164" s="42">
        <v>100</v>
      </c>
      <c r="W164" s="42">
        <v>60</v>
      </c>
      <c r="X164" s="42" t="s">
        <v>29</v>
      </c>
      <c r="AA164" s="98">
        <v>6</v>
      </c>
      <c r="AB164" s="42">
        <v>600</v>
      </c>
      <c r="AC164" s="42">
        <v>435</v>
      </c>
      <c r="AD164" s="42">
        <v>300</v>
      </c>
      <c r="AE164" s="42">
        <v>186</v>
      </c>
      <c r="AF164" s="42" t="s">
        <v>29</v>
      </c>
      <c r="AI164" s="98">
        <v>6</v>
      </c>
      <c r="AJ164" s="42">
        <v>1500</v>
      </c>
      <c r="AK164" s="42">
        <v>1090</v>
      </c>
      <c r="AL164" s="42">
        <v>748</v>
      </c>
      <c r="AM164" s="42">
        <v>468</v>
      </c>
      <c r="AN164" s="42" t="s">
        <v>29</v>
      </c>
      <c r="AQ164" s="98">
        <v>6</v>
      </c>
      <c r="AR164" s="42">
        <v>1848</v>
      </c>
      <c r="AS164" s="42">
        <v>1345</v>
      </c>
      <c r="AT164" s="42">
        <v>924</v>
      </c>
      <c r="AU164" s="42">
        <v>576</v>
      </c>
      <c r="AV164" s="42" t="s">
        <v>29</v>
      </c>
      <c r="AY164" s="98">
        <v>6</v>
      </c>
      <c r="AZ164" s="42">
        <v>2196</v>
      </c>
      <c r="BA164" s="42">
        <v>1600</v>
      </c>
      <c r="BB164" s="42">
        <v>1100</v>
      </c>
      <c r="BC164" s="42">
        <v>687</v>
      </c>
      <c r="BD164" s="42" t="s">
        <v>29</v>
      </c>
    </row>
    <row r="165" spans="1:56" x14ac:dyDescent="0.3">
      <c r="A165" s="110"/>
      <c r="B165" s="110"/>
      <c r="C165" s="68">
        <v>7</v>
      </c>
      <c r="D165" s="42">
        <v>35</v>
      </c>
      <c r="E165" s="42">
        <v>30</v>
      </c>
      <c r="F165" s="42">
        <v>20</v>
      </c>
      <c r="G165" s="42">
        <v>12</v>
      </c>
      <c r="H165" s="42" t="s">
        <v>29</v>
      </c>
      <c r="I165" s="41"/>
      <c r="J165" s="41"/>
      <c r="K165" s="68">
        <v>7</v>
      </c>
      <c r="L165" s="42">
        <v>77</v>
      </c>
      <c r="M165" s="42">
        <v>60</v>
      </c>
      <c r="N165" s="42">
        <v>40</v>
      </c>
      <c r="O165" s="42">
        <v>28</v>
      </c>
      <c r="P165" s="42" t="s">
        <v>29</v>
      </c>
      <c r="S165" s="98">
        <v>7</v>
      </c>
      <c r="T165" s="42">
        <v>196</v>
      </c>
      <c r="U165" s="42">
        <v>150</v>
      </c>
      <c r="V165" s="42">
        <v>105</v>
      </c>
      <c r="W165" s="42">
        <v>68</v>
      </c>
      <c r="X165" s="42" t="s">
        <v>29</v>
      </c>
      <c r="AA165" s="98">
        <v>7</v>
      </c>
      <c r="AB165" s="42">
        <v>595</v>
      </c>
      <c r="AC165" s="42">
        <v>450</v>
      </c>
      <c r="AD165" s="42">
        <v>320</v>
      </c>
      <c r="AE165" s="42">
        <v>212</v>
      </c>
      <c r="AF165" s="42" t="s">
        <v>29</v>
      </c>
      <c r="AI165" s="98">
        <v>7</v>
      </c>
      <c r="AJ165" s="42">
        <v>1498</v>
      </c>
      <c r="AK165" s="42">
        <v>1122</v>
      </c>
      <c r="AL165" s="42">
        <v>800</v>
      </c>
      <c r="AM165" s="42">
        <v>532</v>
      </c>
      <c r="AN165" s="42" t="s">
        <v>29</v>
      </c>
      <c r="AQ165" s="98">
        <v>7</v>
      </c>
      <c r="AR165" s="42">
        <v>1848</v>
      </c>
      <c r="AS165" s="42">
        <v>1386</v>
      </c>
      <c r="AT165" s="42">
        <v>990</v>
      </c>
      <c r="AU165" s="42">
        <v>660</v>
      </c>
      <c r="AV165" s="42" t="s">
        <v>29</v>
      </c>
      <c r="AY165" s="98">
        <v>7</v>
      </c>
      <c r="AZ165" s="42">
        <v>2198</v>
      </c>
      <c r="BA165" s="42">
        <v>1650</v>
      </c>
      <c r="BB165" s="42">
        <v>1175</v>
      </c>
      <c r="BC165" s="42">
        <v>784</v>
      </c>
      <c r="BD165" s="42" t="s">
        <v>29</v>
      </c>
    </row>
    <row r="166" spans="1:56" x14ac:dyDescent="0.3">
      <c r="A166" s="110"/>
      <c r="B166" s="110"/>
      <c r="C166" s="68">
        <v>8</v>
      </c>
      <c r="D166" s="42">
        <v>40</v>
      </c>
      <c r="E166" s="42">
        <v>28</v>
      </c>
      <c r="F166" s="42">
        <v>18</v>
      </c>
      <c r="G166" s="42">
        <v>15</v>
      </c>
      <c r="H166" s="42">
        <v>8</v>
      </c>
      <c r="I166" s="41"/>
      <c r="J166" s="41"/>
      <c r="K166" s="68">
        <v>8</v>
      </c>
      <c r="L166" s="42">
        <v>80</v>
      </c>
      <c r="M166" s="42">
        <v>56</v>
      </c>
      <c r="N166" s="42">
        <v>42</v>
      </c>
      <c r="O166" s="42">
        <v>30</v>
      </c>
      <c r="P166" s="42">
        <v>20</v>
      </c>
      <c r="S166" s="98">
        <v>8</v>
      </c>
      <c r="T166" s="42">
        <v>200</v>
      </c>
      <c r="U166" s="42">
        <v>147</v>
      </c>
      <c r="V166" s="42">
        <v>108</v>
      </c>
      <c r="W166" s="42">
        <v>75</v>
      </c>
      <c r="X166" s="42">
        <v>48</v>
      </c>
      <c r="AA166" s="98">
        <v>8</v>
      </c>
      <c r="AB166" s="42">
        <v>600</v>
      </c>
      <c r="AC166" s="42">
        <v>455</v>
      </c>
      <c r="AD166" s="42">
        <v>330</v>
      </c>
      <c r="AE166" s="42">
        <v>230</v>
      </c>
      <c r="AF166" s="42">
        <v>148</v>
      </c>
      <c r="AI166" s="98">
        <v>8</v>
      </c>
      <c r="AJ166" s="42">
        <v>1496</v>
      </c>
      <c r="AK166" s="42">
        <v>1148</v>
      </c>
      <c r="AL166" s="42">
        <v>840</v>
      </c>
      <c r="AM166" s="42">
        <v>585</v>
      </c>
      <c r="AN166" s="42">
        <v>372</v>
      </c>
      <c r="AQ166" s="98">
        <v>8</v>
      </c>
      <c r="AR166" s="42">
        <v>1848</v>
      </c>
      <c r="AS166" s="42">
        <v>1414</v>
      </c>
      <c r="AT166" s="42">
        <v>1038</v>
      </c>
      <c r="AU166" s="42">
        <v>720</v>
      </c>
      <c r="AV166" s="42">
        <v>460</v>
      </c>
      <c r="AY166" s="98">
        <v>8</v>
      </c>
      <c r="AZ166" s="42">
        <v>2200</v>
      </c>
      <c r="BA166" s="42">
        <v>1680</v>
      </c>
      <c r="BB166" s="42">
        <v>1236</v>
      </c>
      <c r="BC166" s="42">
        <v>855</v>
      </c>
      <c r="BD166" s="42">
        <v>548</v>
      </c>
    </row>
    <row r="167" spans="1:56" x14ac:dyDescent="0.3">
      <c r="A167" s="110"/>
      <c r="B167" s="110"/>
      <c r="C167" s="68">
        <v>9</v>
      </c>
      <c r="D167" s="42">
        <v>36</v>
      </c>
      <c r="E167" s="42">
        <v>24</v>
      </c>
      <c r="F167" s="42">
        <v>21</v>
      </c>
      <c r="G167" s="42">
        <v>12</v>
      </c>
      <c r="H167" s="42">
        <v>10</v>
      </c>
      <c r="I167" s="41"/>
      <c r="J167" s="41"/>
      <c r="K167" s="68">
        <v>9</v>
      </c>
      <c r="L167" s="42">
        <v>72</v>
      </c>
      <c r="M167" s="42">
        <v>56</v>
      </c>
      <c r="N167" s="42">
        <v>42</v>
      </c>
      <c r="O167" s="42">
        <v>30</v>
      </c>
      <c r="P167" s="42">
        <v>20</v>
      </c>
      <c r="S167" s="98">
        <v>9</v>
      </c>
      <c r="T167" s="42">
        <v>198</v>
      </c>
      <c r="U167" s="42">
        <v>152</v>
      </c>
      <c r="V167" s="42">
        <v>112</v>
      </c>
      <c r="W167" s="42">
        <v>78</v>
      </c>
      <c r="X167" s="42">
        <v>55</v>
      </c>
      <c r="AA167" s="98">
        <v>9</v>
      </c>
      <c r="AB167" s="42">
        <v>594</v>
      </c>
      <c r="AC167" s="42">
        <v>464</v>
      </c>
      <c r="AD167" s="42">
        <v>350</v>
      </c>
      <c r="AE167" s="42">
        <v>246</v>
      </c>
      <c r="AF167" s="42">
        <v>165</v>
      </c>
      <c r="AI167" s="98">
        <v>9</v>
      </c>
      <c r="AJ167" s="42">
        <v>1494</v>
      </c>
      <c r="AK167" s="42">
        <v>1160</v>
      </c>
      <c r="AL167" s="42">
        <v>875</v>
      </c>
      <c r="AM167" s="42">
        <v>624</v>
      </c>
      <c r="AN167" s="42">
        <v>415</v>
      </c>
      <c r="AQ167" s="98">
        <v>9</v>
      </c>
      <c r="AR167" s="42">
        <v>1845</v>
      </c>
      <c r="AS167" s="42">
        <v>1432</v>
      </c>
      <c r="AT167" s="42">
        <v>1078</v>
      </c>
      <c r="AU167" s="42">
        <v>768</v>
      </c>
      <c r="AV167" s="42">
        <v>510</v>
      </c>
      <c r="AY167" s="98">
        <v>9</v>
      </c>
      <c r="AZ167" s="42">
        <v>2196</v>
      </c>
      <c r="BA167" s="42">
        <v>1704</v>
      </c>
      <c r="BB167" s="42">
        <v>1281</v>
      </c>
      <c r="BC167" s="42">
        <v>912</v>
      </c>
      <c r="BD167" s="42">
        <v>610</v>
      </c>
    </row>
    <row r="169" spans="1:56" ht="15" x14ac:dyDescent="0.25">
      <c r="D169" s="109" t="s">
        <v>31</v>
      </c>
      <c r="E169" s="109"/>
      <c r="F169" s="109"/>
      <c r="G169" s="109"/>
      <c r="H169" s="109"/>
      <c r="L169" s="109" t="s">
        <v>30</v>
      </c>
      <c r="M169" s="109"/>
      <c r="N169" s="109"/>
      <c r="O169" s="109"/>
      <c r="P169" s="109"/>
      <c r="T169" s="109" t="s">
        <v>32</v>
      </c>
      <c r="U169" s="109"/>
      <c r="V169" s="109"/>
      <c r="W169" s="109"/>
      <c r="X169" s="109"/>
      <c r="AB169" s="109" t="s">
        <v>33</v>
      </c>
      <c r="AC169" s="109"/>
      <c r="AD169" s="109"/>
      <c r="AE169" s="109"/>
      <c r="AF169" s="109"/>
      <c r="AJ169" s="109" t="s">
        <v>34</v>
      </c>
      <c r="AK169" s="109"/>
      <c r="AL169" s="109"/>
      <c r="AM169" s="109"/>
      <c r="AN169" s="109"/>
      <c r="AR169" s="109" t="s">
        <v>35</v>
      </c>
      <c r="AS169" s="109"/>
      <c r="AT169" s="109"/>
      <c r="AU169" s="109"/>
      <c r="AV169" s="109"/>
      <c r="AZ169" s="109" t="s">
        <v>36</v>
      </c>
      <c r="BA169" s="109"/>
      <c r="BB169" s="109"/>
      <c r="BC169" s="109"/>
      <c r="BD169" s="109"/>
    </row>
    <row r="170" spans="1:56" ht="15" x14ac:dyDescent="0.25">
      <c r="C170" s="47"/>
      <c r="D170" s="68">
        <v>0</v>
      </c>
      <c r="E170" s="68">
        <v>1</v>
      </c>
      <c r="F170" s="68">
        <v>2</v>
      </c>
      <c r="G170" s="68">
        <v>3</v>
      </c>
      <c r="H170" s="68">
        <v>4</v>
      </c>
      <c r="K170" s="47"/>
      <c r="L170" s="68">
        <v>0</v>
      </c>
      <c r="M170" s="68">
        <v>1</v>
      </c>
      <c r="N170" s="68">
        <v>2</v>
      </c>
      <c r="O170" s="68">
        <v>3</v>
      </c>
      <c r="P170" s="68">
        <v>4</v>
      </c>
      <c r="S170" s="47"/>
      <c r="T170" s="98">
        <v>0</v>
      </c>
      <c r="U170" s="98">
        <v>1</v>
      </c>
      <c r="V170" s="98">
        <v>2</v>
      </c>
      <c r="W170" s="98">
        <v>3</v>
      </c>
      <c r="X170" s="98">
        <v>4</v>
      </c>
      <c r="AA170" s="47"/>
      <c r="AB170" s="98">
        <v>0</v>
      </c>
      <c r="AC170" s="98">
        <v>1</v>
      </c>
      <c r="AD170" s="98">
        <v>2</v>
      </c>
      <c r="AE170" s="98">
        <v>3</v>
      </c>
      <c r="AF170" s="98">
        <v>4</v>
      </c>
      <c r="AI170" s="47"/>
      <c r="AJ170" s="98">
        <v>0</v>
      </c>
      <c r="AK170" s="98">
        <v>1</v>
      </c>
      <c r="AL170" s="98">
        <v>2</v>
      </c>
      <c r="AM170" s="98">
        <v>3</v>
      </c>
      <c r="AN170" s="98">
        <v>4</v>
      </c>
      <c r="AQ170" s="47"/>
      <c r="AR170" s="98">
        <v>0</v>
      </c>
      <c r="AS170" s="98">
        <v>1</v>
      </c>
      <c r="AT170" s="98">
        <v>2</v>
      </c>
      <c r="AU170" s="98">
        <v>3</v>
      </c>
      <c r="AV170" s="98">
        <v>4</v>
      </c>
      <c r="AY170" s="47"/>
      <c r="AZ170" s="98">
        <v>0</v>
      </c>
      <c r="BA170" s="98">
        <v>1</v>
      </c>
      <c r="BB170" s="98">
        <v>2</v>
      </c>
      <c r="BC170" s="98">
        <v>3</v>
      </c>
      <c r="BD170" s="98">
        <v>4</v>
      </c>
    </row>
    <row r="171" spans="1:56" x14ac:dyDescent="0.3">
      <c r="A171" s="110">
        <v>15</v>
      </c>
      <c r="B171" s="110"/>
      <c r="C171" s="68">
        <v>1</v>
      </c>
      <c r="D171" s="42">
        <v>44</v>
      </c>
      <c r="E171" s="42" t="s">
        <v>29</v>
      </c>
      <c r="F171" s="42" t="s">
        <v>29</v>
      </c>
      <c r="G171" s="42" t="s">
        <v>29</v>
      </c>
      <c r="H171" s="42" t="s">
        <v>29</v>
      </c>
      <c r="K171" s="68">
        <v>1</v>
      </c>
      <c r="L171" s="42">
        <v>88</v>
      </c>
      <c r="M171" s="42" t="s">
        <v>29</v>
      </c>
      <c r="N171" s="42" t="s">
        <v>29</v>
      </c>
      <c r="O171" s="42" t="s">
        <v>29</v>
      </c>
      <c r="P171" s="42" t="s">
        <v>29</v>
      </c>
      <c r="S171" s="98">
        <v>1</v>
      </c>
      <c r="T171" s="42">
        <v>220</v>
      </c>
      <c r="U171" s="42" t="s">
        <v>29</v>
      </c>
      <c r="V171" s="42" t="s">
        <v>29</v>
      </c>
      <c r="W171" s="42" t="s">
        <v>29</v>
      </c>
      <c r="X171" s="42" t="s">
        <v>29</v>
      </c>
      <c r="AA171" s="98">
        <v>1</v>
      </c>
      <c r="AB171" s="42">
        <v>660</v>
      </c>
      <c r="AC171" s="42" t="s">
        <v>29</v>
      </c>
      <c r="AD171" s="42" t="s">
        <v>29</v>
      </c>
      <c r="AE171" s="42" t="s">
        <v>29</v>
      </c>
      <c r="AF171" s="42" t="s">
        <v>29</v>
      </c>
      <c r="AI171" s="98">
        <v>1</v>
      </c>
      <c r="AJ171" s="42">
        <v>1600</v>
      </c>
      <c r="AK171" s="42" t="s">
        <v>29</v>
      </c>
      <c r="AL171" s="42" t="s">
        <v>29</v>
      </c>
      <c r="AM171" s="42" t="s">
        <v>29</v>
      </c>
      <c r="AN171" s="42" t="s">
        <v>29</v>
      </c>
      <c r="AQ171" s="98">
        <v>1</v>
      </c>
      <c r="AR171" s="42">
        <v>1950</v>
      </c>
      <c r="AS171" s="42" t="s">
        <v>29</v>
      </c>
      <c r="AT171" s="42" t="s">
        <v>29</v>
      </c>
      <c r="AU171" s="42" t="s">
        <v>29</v>
      </c>
      <c r="AV171" s="42" t="s">
        <v>29</v>
      </c>
      <c r="AY171" s="98">
        <v>1</v>
      </c>
      <c r="AZ171" s="42">
        <v>2300</v>
      </c>
      <c r="BA171" s="42" t="s">
        <v>29</v>
      </c>
      <c r="BB171" s="42" t="s">
        <v>29</v>
      </c>
      <c r="BC171" s="42" t="s">
        <v>29</v>
      </c>
      <c r="BD171" s="42" t="s">
        <v>29</v>
      </c>
    </row>
    <row r="172" spans="1:56" x14ac:dyDescent="0.3">
      <c r="A172" s="110"/>
      <c r="B172" s="110"/>
      <c r="C172" s="68">
        <v>2</v>
      </c>
      <c r="D172" s="42">
        <v>44</v>
      </c>
      <c r="E172" s="42">
        <v>19</v>
      </c>
      <c r="F172" s="42" t="s">
        <v>29</v>
      </c>
      <c r="G172" s="42" t="s">
        <v>29</v>
      </c>
      <c r="H172" s="42" t="s">
        <v>29</v>
      </c>
      <c r="I172" s="4"/>
      <c r="J172" s="4"/>
      <c r="K172" s="68">
        <v>2</v>
      </c>
      <c r="L172" s="42">
        <v>88</v>
      </c>
      <c r="M172" s="42">
        <v>38</v>
      </c>
      <c r="N172" s="42" t="s">
        <v>29</v>
      </c>
      <c r="O172" s="42" t="s">
        <v>29</v>
      </c>
      <c r="P172" s="42" t="s">
        <v>29</v>
      </c>
      <c r="S172" s="98">
        <v>2</v>
      </c>
      <c r="T172" s="42">
        <v>220</v>
      </c>
      <c r="U172" s="42">
        <v>96</v>
      </c>
      <c r="V172" s="42" t="s">
        <v>29</v>
      </c>
      <c r="W172" s="42" t="s">
        <v>29</v>
      </c>
      <c r="X172" s="42" t="s">
        <v>29</v>
      </c>
      <c r="AA172" s="98">
        <v>2</v>
      </c>
      <c r="AB172" s="42">
        <v>660</v>
      </c>
      <c r="AC172" s="42">
        <v>288</v>
      </c>
      <c r="AD172" s="42" t="s">
        <v>29</v>
      </c>
      <c r="AE172" s="42" t="s">
        <v>29</v>
      </c>
      <c r="AF172" s="42" t="s">
        <v>29</v>
      </c>
      <c r="AI172" s="98">
        <v>2</v>
      </c>
      <c r="AJ172" s="42">
        <v>1600</v>
      </c>
      <c r="AK172" s="42">
        <v>700</v>
      </c>
      <c r="AL172" s="42" t="s">
        <v>29</v>
      </c>
      <c r="AM172" s="42" t="s">
        <v>29</v>
      </c>
      <c r="AN172" s="42" t="s">
        <v>29</v>
      </c>
      <c r="AQ172" s="98">
        <v>2</v>
      </c>
      <c r="AR172" s="42">
        <v>1950</v>
      </c>
      <c r="AS172" s="42">
        <v>853</v>
      </c>
      <c r="AT172" s="42" t="s">
        <v>29</v>
      </c>
      <c r="AU172" s="42" t="s">
        <v>29</v>
      </c>
      <c r="AV172" s="42" t="s">
        <v>29</v>
      </c>
      <c r="AY172" s="98">
        <v>2</v>
      </c>
      <c r="AZ172" s="42">
        <v>2300</v>
      </c>
      <c r="BA172" s="42">
        <v>1006</v>
      </c>
      <c r="BB172" s="42" t="s">
        <v>29</v>
      </c>
      <c r="BC172" s="42" t="s">
        <v>29</v>
      </c>
      <c r="BD172" s="42" t="s">
        <v>29</v>
      </c>
    </row>
    <row r="173" spans="1:56" x14ac:dyDescent="0.3">
      <c r="A173" s="110"/>
      <c r="B173" s="110"/>
      <c r="C173" s="68">
        <v>3</v>
      </c>
      <c r="D173" s="42">
        <v>42</v>
      </c>
      <c r="E173" s="42">
        <v>24</v>
      </c>
      <c r="F173" s="42" t="s">
        <v>29</v>
      </c>
      <c r="G173" s="42" t="s">
        <v>29</v>
      </c>
      <c r="H173" s="42" t="s">
        <v>29</v>
      </c>
      <c r="I173" s="4"/>
      <c r="J173" s="4"/>
      <c r="K173" s="68">
        <v>3</v>
      </c>
      <c r="L173" s="42">
        <v>87</v>
      </c>
      <c r="M173" s="42">
        <v>50</v>
      </c>
      <c r="N173" s="42" t="s">
        <v>29</v>
      </c>
      <c r="O173" s="42" t="s">
        <v>29</v>
      </c>
      <c r="P173" s="42" t="s">
        <v>29</v>
      </c>
      <c r="S173" s="98">
        <v>3</v>
      </c>
      <c r="T173" s="42">
        <v>219</v>
      </c>
      <c r="U173" s="42">
        <v>128</v>
      </c>
      <c r="V173" s="42" t="s">
        <v>29</v>
      </c>
      <c r="W173" s="42" t="s">
        <v>29</v>
      </c>
      <c r="X173" s="42" t="s">
        <v>29</v>
      </c>
      <c r="AA173" s="98">
        <v>3</v>
      </c>
      <c r="AB173" s="42">
        <v>660</v>
      </c>
      <c r="AC173" s="42">
        <v>384</v>
      </c>
      <c r="AD173" s="42" t="s">
        <v>29</v>
      </c>
      <c r="AE173" s="42" t="s">
        <v>29</v>
      </c>
      <c r="AF173" s="42" t="s">
        <v>29</v>
      </c>
      <c r="AI173" s="98">
        <v>3</v>
      </c>
      <c r="AJ173" s="42">
        <v>1599</v>
      </c>
      <c r="AK173" s="42">
        <v>932</v>
      </c>
      <c r="AL173" s="42" t="s">
        <v>29</v>
      </c>
      <c r="AM173" s="42" t="s">
        <v>29</v>
      </c>
      <c r="AN173" s="42" t="s">
        <v>29</v>
      </c>
      <c r="AQ173" s="98">
        <v>3</v>
      </c>
      <c r="AR173" s="42">
        <v>1950</v>
      </c>
      <c r="AS173" s="42">
        <v>1136</v>
      </c>
      <c r="AT173" s="42" t="s">
        <v>29</v>
      </c>
      <c r="AU173" s="42" t="s">
        <v>29</v>
      </c>
      <c r="AV173" s="42" t="s">
        <v>29</v>
      </c>
      <c r="AY173" s="98">
        <v>3</v>
      </c>
      <c r="AZ173" s="42">
        <v>2298</v>
      </c>
      <c r="BA173" s="42">
        <v>1340</v>
      </c>
      <c r="BB173" s="42" t="s">
        <v>29</v>
      </c>
      <c r="BC173" s="42" t="s">
        <v>29</v>
      </c>
      <c r="BD173" s="42" t="s">
        <v>29</v>
      </c>
    </row>
    <row r="174" spans="1:56" x14ac:dyDescent="0.3">
      <c r="A174" s="110"/>
      <c r="B174" s="110"/>
      <c r="C174" s="68">
        <v>4</v>
      </c>
      <c r="D174" s="42">
        <v>44</v>
      </c>
      <c r="E174" s="42">
        <v>27</v>
      </c>
      <c r="F174" s="42">
        <v>16</v>
      </c>
      <c r="G174" s="42" t="s">
        <v>29</v>
      </c>
      <c r="H174" s="42" t="s">
        <v>29</v>
      </c>
      <c r="I174" s="41"/>
      <c r="J174" s="41"/>
      <c r="K174" s="68">
        <v>4</v>
      </c>
      <c r="L174" s="42">
        <v>88</v>
      </c>
      <c r="M174" s="42">
        <v>57</v>
      </c>
      <c r="N174" s="42">
        <v>32</v>
      </c>
      <c r="O174" s="42" t="s">
        <v>29</v>
      </c>
      <c r="P174" s="42" t="s">
        <v>29</v>
      </c>
      <c r="S174" s="98">
        <v>4</v>
      </c>
      <c r="T174" s="42">
        <v>220</v>
      </c>
      <c r="U174" s="42">
        <v>144</v>
      </c>
      <c r="V174" s="42">
        <v>82</v>
      </c>
      <c r="W174" s="42" t="s">
        <v>29</v>
      </c>
      <c r="X174" s="42" t="s">
        <v>29</v>
      </c>
      <c r="AA174" s="98">
        <v>4</v>
      </c>
      <c r="AB174" s="42">
        <v>660</v>
      </c>
      <c r="AC174" s="42">
        <v>432</v>
      </c>
      <c r="AD174" s="42">
        <v>246</v>
      </c>
      <c r="AE174" s="42" t="s">
        <v>29</v>
      </c>
      <c r="AF174" s="42" t="s">
        <v>29</v>
      </c>
      <c r="AI174" s="98">
        <v>4</v>
      </c>
      <c r="AJ174" s="42">
        <v>1600</v>
      </c>
      <c r="AK174" s="42">
        <v>1050</v>
      </c>
      <c r="AL174" s="42">
        <v>600</v>
      </c>
      <c r="AM174" s="42" t="s">
        <v>29</v>
      </c>
      <c r="AN174" s="42" t="s">
        <v>29</v>
      </c>
      <c r="AQ174" s="98">
        <v>4</v>
      </c>
      <c r="AR174" s="42">
        <v>1948</v>
      </c>
      <c r="AS174" s="42">
        <v>1278</v>
      </c>
      <c r="AT174" s="42">
        <v>730</v>
      </c>
      <c r="AU174" s="42" t="s">
        <v>29</v>
      </c>
      <c r="AV174" s="42" t="s">
        <v>29</v>
      </c>
      <c r="AY174" s="98">
        <v>4</v>
      </c>
      <c r="AZ174" s="42">
        <v>2300</v>
      </c>
      <c r="BA174" s="42">
        <v>1509</v>
      </c>
      <c r="BB174" s="42">
        <v>862</v>
      </c>
      <c r="BC174" s="42" t="s">
        <v>29</v>
      </c>
      <c r="BD174" s="42" t="s">
        <v>29</v>
      </c>
    </row>
    <row r="175" spans="1:56" x14ac:dyDescent="0.3">
      <c r="A175" s="110"/>
      <c r="B175" s="110"/>
      <c r="C175" s="68">
        <v>5</v>
      </c>
      <c r="D175" s="42">
        <v>40</v>
      </c>
      <c r="E175" s="42">
        <v>28</v>
      </c>
      <c r="F175" s="42">
        <v>18</v>
      </c>
      <c r="G175" s="42" t="s">
        <v>29</v>
      </c>
      <c r="H175" s="42" t="s">
        <v>29</v>
      </c>
      <c r="I175" s="41"/>
      <c r="J175" s="41"/>
      <c r="K175" s="68">
        <v>5</v>
      </c>
      <c r="L175" s="42">
        <v>85</v>
      </c>
      <c r="M175" s="42">
        <v>60</v>
      </c>
      <c r="N175" s="42">
        <v>39</v>
      </c>
      <c r="O175" s="42" t="s">
        <v>29</v>
      </c>
      <c r="P175" s="42" t="s">
        <v>29</v>
      </c>
      <c r="S175" s="98">
        <v>5</v>
      </c>
      <c r="T175" s="42">
        <v>220</v>
      </c>
      <c r="U175" s="42">
        <v>152</v>
      </c>
      <c r="V175" s="42">
        <v>99</v>
      </c>
      <c r="W175" s="42" t="s">
        <v>29</v>
      </c>
      <c r="X175" s="42" t="s">
        <v>29</v>
      </c>
      <c r="AA175" s="98">
        <v>5</v>
      </c>
      <c r="AB175" s="42">
        <v>660</v>
      </c>
      <c r="AC175" s="42">
        <v>460</v>
      </c>
      <c r="AD175" s="42">
        <v>297</v>
      </c>
      <c r="AE175" s="42" t="s">
        <v>29</v>
      </c>
      <c r="AF175" s="42" t="s">
        <v>29</v>
      </c>
      <c r="AI175" s="98">
        <v>5</v>
      </c>
      <c r="AJ175" s="42">
        <v>1600</v>
      </c>
      <c r="AK175" s="42">
        <v>1120</v>
      </c>
      <c r="AL175" s="42">
        <v>720</v>
      </c>
      <c r="AM175" s="42" t="s">
        <v>29</v>
      </c>
      <c r="AN175" s="42" t="s">
        <v>29</v>
      </c>
      <c r="AQ175" s="98">
        <v>5</v>
      </c>
      <c r="AR175" s="42">
        <v>1950</v>
      </c>
      <c r="AS175" s="42">
        <v>1364</v>
      </c>
      <c r="AT175" s="42">
        <v>876</v>
      </c>
      <c r="AU175" s="42" t="s">
        <v>29</v>
      </c>
      <c r="AV175" s="42" t="s">
        <v>29</v>
      </c>
      <c r="AY175" s="98">
        <v>5</v>
      </c>
      <c r="AZ175" s="42">
        <v>2300</v>
      </c>
      <c r="BA175" s="42">
        <v>1608</v>
      </c>
      <c r="BB175" s="42">
        <v>1035</v>
      </c>
      <c r="BC175" s="42" t="s">
        <v>29</v>
      </c>
      <c r="BD175" s="42" t="s">
        <v>29</v>
      </c>
    </row>
    <row r="176" spans="1:56" x14ac:dyDescent="0.3">
      <c r="A176" s="110"/>
      <c r="B176" s="110"/>
      <c r="C176" s="68">
        <v>6</v>
      </c>
      <c r="D176" s="42">
        <v>42</v>
      </c>
      <c r="E176" s="42">
        <v>30</v>
      </c>
      <c r="F176" s="42">
        <v>20</v>
      </c>
      <c r="G176" s="42">
        <v>12</v>
      </c>
      <c r="H176" s="42" t="s">
        <v>29</v>
      </c>
      <c r="I176" s="41"/>
      <c r="J176" s="41"/>
      <c r="K176" s="68">
        <v>6</v>
      </c>
      <c r="L176" s="42">
        <v>84</v>
      </c>
      <c r="M176" s="42">
        <v>60</v>
      </c>
      <c r="N176" s="42">
        <v>44</v>
      </c>
      <c r="O176" s="42">
        <v>27</v>
      </c>
      <c r="P176" s="42" t="s">
        <v>29</v>
      </c>
      <c r="S176" s="98">
        <v>6</v>
      </c>
      <c r="T176" s="42">
        <v>216</v>
      </c>
      <c r="U176" s="42">
        <v>160</v>
      </c>
      <c r="V176" s="42">
        <v>108</v>
      </c>
      <c r="W176" s="42">
        <v>66</v>
      </c>
      <c r="X176" s="42" t="s">
        <v>29</v>
      </c>
      <c r="AA176" s="98">
        <v>6</v>
      </c>
      <c r="AB176" s="42">
        <v>660</v>
      </c>
      <c r="AC176" s="42">
        <v>480</v>
      </c>
      <c r="AD176" s="42">
        <v>328</v>
      </c>
      <c r="AE176" s="42">
        <v>204</v>
      </c>
      <c r="AF176" s="42" t="s">
        <v>29</v>
      </c>
      <c r="AI176" s="98">
        <v>6</v>
      </c>
      <c r="AJ176" s="42">
        <v>1596</v>
      </c>
      <c r="AK176" s="42">
        <v>1165</v>
      </c>
      <c r="AL176" s="42">
        <v>800</v>
      </c>
      <c r="AM176" s="42">
        <v>498</v>
      </c>
      <c r="AN176" s="42" t="s">
        <v>29</v>
      </c>
      <c r="AQ176" s="98">
        <v>6</v>
      </c>
      <c r="AR176" s="42">
        <v>1950</v>
      </c>
      <c r="AS176" s="42">
        <v>1420</v>
      </c>
      <c r="AT176" s="42">
        <v>972</v>
      </c>
      <c r="AU176" s="42">
        <v>609</v>
      </c>
      <c r="AV176" s="42" t="s">
        <v>29</v>
      </c>
      <c r="AY176" s="98">
        <v>6</v>
      </c>
      <c r="AZ176" s="42">
        <v>2298</v>
      </c>
      <c r="BA176" s="42">
        <v>1675</v>
      </c>
      <c r="BB176" s="42">
        <v>1148</v>
      </c>
      <c r="BC176" s="42">
        <v>717</v>
      </c>
      <c r="BD176" s="42" t="s">
        <v>29</v>
      </c>
    </row>
    <row r="177" spans="1:56" x14ac:dyDescent="0.3">
      <c r="A177" s="110"/>
      <c r="B177" s="110"/>
      <c r="C177" s="68">
        <v>7</v>
      </c>
      <c r="D177" s="42">
        <v>42</v>
      </c>
      <c r="E177" s="42">
        <v>30</v>
      </c>
      <c r="F177" s="42">
        <v>20</v>
      </c>
      <c r="G177" s="42">
        <v>12</v>
      </c>
      <c r="H177" s="42" t="s">
        <v>29</v>
      </c>
      <c r="I177" s="41"/>
      <c r="J177" s="41"/>
      <c r="K177" s="68">
        <v>7</v>
      </c>
      <c r="L177" s="42">
        <v>84</v>
      </c>
      <c r="M177" s="42">
        <v>66</v>
      </c>
      <c r="N177" s="42">
        <v>45</v>
      </c>
      <c r="O177" s="42">
        <v>28</v>
      </c>
      <c r="P177" s="42" t="s">
        <v>29</v>
      </c>
      <c r="S177" s="98">
        <v>7</v>
      </c>
      <c r="T177" s="42">
        <v>217</v>
      </c>
      <c r="U177" s="42">
        <v>162</v>
      </c>
      <c r="V177" s="42">
        <v>115</v>
      </c>
      <c r="W177" s="42">
        <v>76</v>
      </c>
      <c r="X177" s="42" t="s">
        <v>29</v>
      </c>
      <c r="AA177" s="98">
        <v>7</v>
      </c>
      <c r="AB177" s="42">
        <v>658</v>
      </c>
      <c r="AC177" s="42">
        <v>492</v>
      </c>
      <c r="AD177" s="42">
        <v>350</v>
      </c>
      <c r="AE177" s="42">
        <v>232</v>
      </c>
      <c r="AF177" s="42" t="s">
        <v>29</v>
      </c>
      <c r="AI177" s="98">
        <v>7</v>
      </c>
      <c r="AJ177" s="42">
        <v>1596</v>
      </c>
      <c r="AK177" s="42">
        <v>1200</v>
      </c>
      <c r="AL177" s="42">
        <v>855</v>
      </c>
      <c r="AM177" s="42">
        <v>568</v>
      </c>
      <c r="AN177" s="42" t="s">
        <v>29</v>
      </c>
      <c r="AQ177" s="98">
        <v>7</v>
      </c>
      <c r="AR177" s="42">
        <v>1946</v>
      </c>
      <c r="AS177" s="42">
        <v>1458</v>
      </c>
      <c r="AT177" s="42">
        <v>1040</v>
      </c>
      <c r="AU177" s="42">
        <v>696</v>
      </c>
      <c r="AV177" s="42" t="s">
        <v>29</v>
      </c>
      <c r="AY177" s="98">
        <v>7</v>
      </c>
      <c r="AZ177" s="42">
        <v>2296</v>
      </c>
      <c r="BA177" s="42">
        <v>1722</v>
      </c>
      <c r="BB177" s="42">
        <v>1230</v>
      </c>
      <c r="BC177" s="42">
        <v>820</v>
      </c>
      <c r="BD177" s="42" t="s">
        <v>29</v>
      </c>
    </row>
    <row r="178" spans="1:56" x14ac:dyDescent="0.3">
      <c r="A178" s="110"/>
      <c r="B178" s="110"/>
      <c r="C178" s="68">
        <v>8</v>
      </c>
      <c r="D178" s="42">
        <v>40</v>
      </c>
      <c r="E178" s="42">
        <v>28</v>
      </c>
      <c r="F178" s="42">
        <v>24</v>
      </c>
      <c r="G178" s="42">
        <v>15</v>
      </c>
      <c r="H178" s="42">
        <v>8</v>
      </c>
      <c r="I178" s="41"/>
      <c r="J178" s="41"/>
      <c r="K178" s="68">
        <v>8</v>
      </c>
      <c r="L178" s="42">
        <v>88</v>
      </c>
      <c r="M178" s="42">
        <v>63</v>
      </c>
      <c r="N178" s="42">
        <v>48</v>
      </c>
      <c r="O178" s="42">
        <v>30</v>
      </c>
      <c r="P178" s="42">
        <v>20</v>
      </c>
      <c r="S178" s="98">
        <v>8</v>
      </c>
      <c r="T178" s="42">
        <v>216</v>
      </c>
      <c r="U178" s="42">
        <v>168</v>
      </c>
      <c r="V178" s="42">
        <v>120</v>
      </c>
      <c r="W178" s="42">
        <v>85</v>
      </c>
      <c r="X178" s="42">
        <v>52</v>
      </c>
      <c r="AA178" s="98">
        <v>8</v>
      </c>
      <c r="AB178" s="42">
        <v>656</v>
      </c>
      <c r="AC178" s="42">
        <v>504</v>
      </c>
      <c r="AD178" s="42">
        <v>366</v>
      </c>
      <c r="AE178" s="42">
        <v>255</v>
      </c>
      <c r="AF178" s="42">
        <v>164</v>
      </c>
      <c r="AI178" s="98">
        <v>8</v>
      </c>
      <c r="AJ178" s="42">
        <v>1600</v>
      </c>
      <c r="AK178" s="42">
        <v>1225</v>
      </c>
      <c r="AL178" s="42">
        <v>900</v>
      </c>
      <c r="AM178" s="42">
        <v>625</v>
      </c>
      <c r="AN178" s="42">
        <v>400</v>
      </c>
      <c r="AQ178" s="98">
        <v>8</v>
      </c>
      <c r="AR178" s="42">
        <v>1944</v>
      </c>
      <c r="AS178" s="42">
        <v>1491</v>
      </c>
      <c r="AT178" s="42">
        <v>1092</v>
      </c>
      <c r="AU178" s="42">
        <v>760</v>
      </c>
      <c r="AV178" s="42">
        <v>484</v>
      </c>
      <c r="AY178" s="98">
        <v>8</v>
      </c>
      <c r="AZ178" s="42">
        <v>2296</v>
      </c>
      <c r="BA178" s="42">
        <v>1757</v>
      </c>
      <c r="BB178" s="42">
        <v>1290</v>
      </c>
      <c r="BC178" s="42">
        <v>895</v>
      </c>
      <c r="BD178" s="42">
        <v>572</v>
      </c>
    </row>
    <row r="179" spans="1:56" x14ac:dyDescent="0.3">
      <c r="A179" s="110"/>
      <c r="B179" s="110"/>
      <c r="C179" s="68">
        <v>9</v>
      </c>
      <c r="D179" s="42">
        <v>36</v>
      </c>
      <c r="E179" s="42">
        <v>32</v>
      </c>
      <c r="F179" s="42">
        <v>21</v>
      </c>
      <c r="G179" s="42">
        <v>18</v>
      </c>
      <c r="H179" s="42">
        <v>10</v>
      </c>
      <c r="I179" s="41"/>
      <c r="J179" s="41"/>
      <c r="K179" s="68">
        <v>9</v>
      </c>
      <c r="L179" s="42">
        <v>81</v>
      </c>
      <c r="M179" s="42">
        <v>64</v>
      </c>
      <c r="N179" s="42">
        <v>49</v>
      </c>
      <c r="O179" s="42">
        <v>36</v>
      </c>
      <c r="P179" s="42">
        <v>20</v>
      </c>
      <c r="S179" s="98">
        <v>9</v>
      </c>
      <c r="T179" s="42">
        <v>216</v>
      </c>
      <c r="U179" s="42">
        <v>168</v>
      </c>
      <c r="V179" s="42">
        <v>126</v>
      </c>
      <c r="W179" s="42">
        <v>90</v>
      </c>
      <c r="X179" s="42">
        <v>60</v>
      </c>
      <c r="AA179" s="98">
        <v>9</v>
      </c>
      <c r="AB179" s="42">
        <v>657</v>
      </c>
      <c r="AC179" s="42">
        <v>512</v>
      </c>
      <c r="AD179" s="42">
        <v>385</v>
      </c>
      <c r="AE179" s="42">
        <v>270</v>
      </c>
      <c r="AF179" s="42">
        <v>180</v>
      </c>
      <c r="AI179" s="98">
        <v>9</v>
      </c>
      <c r="AJ179" s="42">
        <v>1593</v>
      </c>
      <c r="AK179" s="42">
        <v>1240</v>
      </c>
      <c r="AL179" s="42">
        <v>931</v>
      </c>
      <c r="AM179" s="42">
        <v>666</v>
      </c>
      <c r="AN179" s="42">
        <v>440</v>
      </c>
      <c r="AQ179" s="98">
        <v>9</v>
      </c>
      <c r="AR179" s="42">
        <v>1944</v>
      </c>
      <c r="AS179" s="42">
        <v>1512</v>
      </c>
      <c r="AT179" s="42">
        <v>1134</v>
      </c>
      <c r="AU179" s="42">
        <v>810</v>
      </c>
      <c r="AV179" s="42">
        <v>540</v>
      </c>
      <c r="AY179" s="98">
        <v>9</v>
      </c>
      <c r="AZ179" s="42">
        <v>4599</v>
      </c>
      <c r="BA179" s="42">
        <v>1784</v>
      </c>
      <c r="BB179" s="42">
        <v>1337</v>
      </c>
      <c r="BC179" s="42">
        <v>954</v>
      </c>
      <c r="BD179" s="42">
        <v>635</v>
      </c>
    </row>
    <row r="181" spans="1:56" ht="15" x14ac:dyDescent="0.25">
      <c r="D181" s="109" t="s">
        <v>31</v>
      </c>
      <c r="E181" s="109"/>
      <c r="F181" s="109"/>
      <c r="G181" s="109"/>
      <c r="H181" s="109"/>
      <c r="L181" s="109" t="s">
        <v>30</v>
      </c>
      <c r="M181" s="109"/>
      <c r="N181" s="109"/>
      <c r="O181" s="109"/>
      <c r="P181" s="109"/>
      <c r="T181" s="109" t="s">
        <v>32</v>
      </c>
      <c r="U181" s="109"/>
      <c r="V181" s="109"/>
      <c r="W181" s="109"/>
      <c r="X181" s="109"/>
      <c r="AB181" s="109" t="s">
        <v>33</v>
      </c>
      <c r="AC181" s="109"/>
      <c r="AD181" s="109"/>
      <c r="AE181" s="109"/>
      <c r="AF181" s="109"/>
      <c r="AJ181" s="109" t="s">
        <v>34</v>
      </c>
      <c r="AK181" s="109"/>
      <c r="AL181" s="109"/>
      <c r="AM181" s="109"/>
      <c r="AN181" s="109"/>
      <c r="AR181" s="109" t="s">
        <v>35</v>
      </c>
      <c r="AS181" s="109"/>
      <c r="AT181" s="109"/>
      <c r="AU181" s="109"/>
      <c r="AV181" s="109"/>
      <c r="AZ181" s="109" t="s">
        <v>36</v>
      </c>
      <c r="BA181" s="109"/>
      <c r="BB181" s="109"/>
      <c r="BC181" s="109"/>
      <c r="BD181" s="109"/>
    </row>
    <row r="182" spans="1:56" ht="15" x14ac:dyDescent="0.25">
      <c r="C182" s="47"/>
      <c r="D182" s="98">
        <v>0</v>
      </c>
      <c r="E182" s="98">
        <v>1</v>
      </c>
      <c r="F182" s="98">
        <v>2</v>
      </c>
      <c r="G182" s="98">
        <v>3</v>
      </c>
      <c r="H182" s="98">
        <v>4</v>
      </c>
      <c r="K182" s="47"/>
      <c r="L182" s="98">
        <v>0</v>
      </c>
      <c r="M182" s="98">
        <v>1</v>
      </c>
      <c r="N182" s="98">
        <v>2</v>
      </c>
      <c r="O182" s="98">
        <v>3</v>
      </c>
      <c r="P182" s="98">
        <v>4</v>
      </c>
      <c r="S182" s="47"/>
      <c r="T182" s="98">
        <v>0</v>
      </c>
      <c r="U182" s="98">
        <v>1</v>
      </c>
      <c r="V182" s="98">
        <v>2</v>
      </c>
      <c r="W182" s="98">
        <v>3</v>
      </c>
      <c r="X182" s="98">
        <v>4</v>
      </c>
      <c r="AA182" s="47"/>
      <c r="AB182" s="98">
        <v>0</v>
      </c>
      <c r="AC182" s="98">
        <v>1</v>
      </c>
      <c r="AD182" s="98">
        <v>2</v>
      </c>
      <c r="AE182" s="98">
        <v>3</v>
      </c>
      <c r="AF182" s="98">
        <v>4</v>
      </c>
      <c r="AI182" s="47"/>
      <c r="AJ182" s="98">
        <v>0</v>
      </c>
      <c r="AK182" s="98">
        <v>1</v>
      </c>
      <c r="AL182" s="98">
        <v>2</v>
      </c>
      <c r="AM182" s="98">
        <v>3</v>
      </c>
      <c r="AN182" s="98">
        <v>4</v>
      </c>
      <c r="AQ182" s="47"/>
      <c r="AR182" s="98">
        <v>0</v>
      </c>
      <c r="AS182" s="98">
        <v>1</v>
      </c>
      <c r="AT182" s="98">
        <v>2</v>
      </c>
      <c r="AU182" s="98">
        <v>3</v>
      </c>
      <c r="AV182" s="98">
        <v>4</v>
      </c>
      <c r="AY182" s="47"/>
      <c r="AZ182" s="98">
        <v>0</v>
      </c>
      <c r="BA182" s="98">
        <v>1</v>
      </c>
      <c r="BB182" s="98">
        <v>2</v>
      </c>
      <c r="BC182" s="98">
        <v>3</v>
      </c>
      <c r="BD182" s="98">
        <v>4</v>
      </c>
    </row>
    <row r="183" spans="1:56" x14ac:dyDescent="0.3">
      <c r="A183" s="110">
        <v>16</v>
      </c>
      <c r="B183" s="110"/>
      <c r="C183" s="98">
        <v>1</v>
      </c>
      <c r="D183" s="42">
        <v>44</v>
      </c>
      <c r="E183" s="42" t="s">
        <v>29</v>
      </c>
      <c r="F183" s="42" t="s">
        <v>29</v>
      </c>
      <c r="G183" s="42" t="s">
        <v>29</v>
      </c>
      <c r="H183" s="42" t="s">
        <v>29</v>
      </c>
      <c r="K183" s="98">
        <v>1</v>
      </c>
      <c r="L183" s="42">
        <v>88</v>
      </c>
      <c r="M183" s="42" t="s">
        <v>29</v>
      </c>
      <c r="N183" s="42" t="s">
        <v>29</v>
      </c>
      <c r="O183" s="42" t="s">
        <v>29</v>
      </c>
      <c r="P183" s="42" t="s">
        <v>29</v>
      </c>
      <c r="S183" s="98">
        <v>1</v>
      </c>
      <c r="T183" s="42">
        <v>220</v>
      </c>
      <c r="U183" s="42" t="s">
        <v>29</v>
      </c>
      <c r="V183" s="42" t="s">
        <v>29</v>
      </c>
      <c r="W183" s="42" t="s">
        <v>29</v>
      </c>
      <c r="X183" s="42" t="s">
        <v>29</v>
      </c>
      <c r="AA183" s="98">
        <v>1</v>
      </c>
      <c r="AB183" s="42">
        <v>660</v>
      </c>
      <c r="AC183" s="42" t="s">
        <v>29</v>
      </c>
      <c r="AD183" s="42" t="s">
        <v>29</v>
      </c>
      <c r="AE183" s="42" t="s">
        <v>29</v>
      </c>
      <c r="AF183" s="42" t="s">
        <v>29</v>
      </c>
      <c r="AI183" s="98">
        <v>1</v>
      </c>
      <c r="AJ183" s="42">
        <v>1600</v>
      </c>
      <c r="AK183" s="42" t="s">
        <v>29</v>
      </c>
      <c r="AL183" s="42" t="s">
        <v>29</v>
      </c>
      <c r="AM183" s="42" t="s">
        <v>29</v>
      </c>
      <c r="AN183" s="42" t="s">
        <v>29</v>
      </c>
      <c r="AQ183" s="98">
        <v>1</v>
      </c>
      <c r="AR183" s="42">
        <v>1950</v>
      </c>
      <c r="AS183" s="42" t="s">
        <v>29</v>
      </c>
      <c r="AT183" s="42" t="s">
        <v>29</v>
      </c>
      <c r="AU183" s="42" t="s">
        <v>29</v>
      </c>
      <c r="AV183" s="42" t="s">
        <v>29</v>
      </c>
      <c r="AY183" s="98">
        <v>1</v>
      </c>
      <c r="AZ183" s="42">
        <v>2300</v>
      </c>
      <c r="BA183" s="42" t="s">
        <v>29</v>
      </c>
      <c r="BB183" s="42" t="s">
        <v>29</v>
      </c>
      <c r="BC183" s="42" t="s">
        <v>29</v>
      </c>
      <c r="BD183" s="42" t="s">
        <v>29</v>
      </c>
    </row>
    <row r="184" spans="1:56" x14ac:dyDescent="0.3">
      <c r="A184" s="110"/>
      <c r="B184" s="110"/>
      <c r="C184" s="98">
        <v>2</v>
      </c>
      <c r="D184" s="42">
        <v>44</v>
      </c>
      <c r="E184" s="42">
        <v>19</v>
      </c>
      <c r="F184" s="42" t="s">
        <v>29</v>
      </c>
      <c r="G184" s="42" t="s">
        <v>29</v>
      </c>
      <c r="H184" s="42" t="s">
        <v>29</v>
      </c>
      <c r="I184" s="4"/>
      <c r="J184" s="4"/>
      <c r="K184" s="98">
        <v>2</v>
      </c>
      <c r="L184" s="42">
        <v>88</v>
      </c>
      <c r="M184" s="42">
        <v>38</v>
      </c>
      <c r="N184" s="42" t="s">
        <v>29</v>
      </c>
      <c r="O184" s="42" t="s">
        <v>29</v>
      </c>
      <c r="P184" s="42" t="s">
        <v>29</v>
      </c>
      <c r="S184" s="98">
        <v>2</v>
      </c>
      <c r="T184" s="42">
        <v>220</v>
      </c>
      <c r="U184" s="42">
        <v>96</v>
      </c>
      <c r="V184" s="42" t="s">
        <v>29</v>
      </c>
      <c r="W184" s="42" t="s">
        <v>29</v>
      </c>
      <c r="X184" s="42" t="s">
        <v>29</v>
      </c>
      <c r="AA184" s="98">
        <v>2</v>
      </c>
      <c r="AB184" s="42">
        <v>660</v>
      </c>
      <c r="AC184" s="42">
        <v>288</v>
      </c>
      <c r="AD184" s="42" t="s">
        <v>29</v>
      </c>
      <c r="AE184" s="42" t="s">
        <v>29</v>
      </c>
      <c r="AF184" s="42" t="s">
        <v>29</v>
      </c>
      <c r="AI184" s="98">
        <v>2</v>
      </c>
      <c r="AJ184" s="42">
        <v>1600</v>
      </c>
      <c r="AK184" s="42">
        <v>700</v>
      </c>
      <c r="AL184" s="42" t="s">
        <v>29</v>
      </c>
      <c r="AM184" s="42" t="s">
        <v>29</v>
      </c>
      <c r="AN184" s="42" t="s">
        <v>29</v>
      </c>
      <c r="AQ184" s="98">
        <v>2</v>
      </c>
      <c r="AR184" s="42">
        <v>1950</v>
      </c>
      <c r="AS184" s="42">
        <v>853</v>
      </c>
      <c r="AT184" s="42" t="s">
        <v>29</v>
      </c>
      <c r="AU184" s="42" t="s">
        <v>29</v>
      </c>
      <c r="AV184" s="42" t="s">
        <v>29</v>
      </c>
      <c r="AY184" s="98">
        <v>2</v>
      </c>
      <c r="AZ184" s="42">
        <v>2300</v>
      </c>
      <c r="BA184" s="42">
        <v>1006</v>
      </c>
      <c r="BB184" s="42" t="s">
        <v>29</v>
      </c>
      <c r="BC184" s="42" t="s">
        <v>29</v>
      </c>
      <c r="BD184" s="42" t="s">
        <v>29</v>
      </c>
    </row>
    <row r="185" spans="1:56" x14ac:dyDescent="0.3">
      <c r="A185" s="110"/>
      <c r="B185" s="110"/>
      <c r="C185" s="98">
        <v>3</v>
      </c>
      <c r="D185" s="42">
        <v>42</v>
      </c>
      <c r="E185" s="42">
        <v>24</v>
      </c>
      <c r="F185" s="42" t="s">
        <v>29</v>
      </c>
      <c r="G185" s="42" t="s">
        <v>29</v>
      </c>
      <c r="H185" s="42" t="s">
        <v>29</v>
      </c>
      <c r="I185" s="4"/>
      <c r="J185" s="4"/>
      <c r="K185" s="98">
        <v>3</v>
      </c>
      <c r="L185" s="42">
        <v>87</v>
      </c>
      <c r="M185" s="42">
        <v>50</v>
      </c>
      <c r="N185" s="42" t="s">
        <v>29</v>
      </c>
      <c r="O185" s="42" t="s">
        <v>29</v>
      </c>
      <c r="P185" s="42" t="s">
        <v>29</v>
      </c>
      <c r="S185" s="98">
        <v>3</v>
      </c>
      <c r="T185" s="42">
        <v>219</v>
      </c>
      <c r="U185" s="42">
        <v>128</v>
      </c>
      <c r="V185" s="42" t="s">
        <v>29</v>
      </c>
      <c r="W185" s="42" t="s">
        <v>29</v>
      </c>
      <c r="X185" s="42" t="s">
        <v>29</v>
      </c>
      <c r="AA185" s="98">
        <v>3</v>
      </c>
      <c r="AB185" s="42">
        <v>660</v>
      </c>
      <c r="AC185" s="42">
        <v>384</v>
      </c>
      <c r="AD185" s="42" t="s">
        <v>29</v>
      </c>
      <c r="AE185" s="42" t="s">
        <v>29</v>
      </c>
      <c r="AF185" s="42" t="s">
        <v>29</v>
      </c>
      <c r="AI185" s="98">
        <v>3</v>
      </c>
      <c r="AJ185" s="42">
        <v>1599</v>
      </c>
      <c r="AK185" s="42">
        <v>932</v>
      </c>
      <c r="AL185" s="42" t="s">
        <v>29</v>
      </c>
      <c r="AM185" s="42" t="s">
        <v>29</v>
      </c>
      <c r="AN185" s="42" t="s">
        <v>29</v>
      </c>
      <c r="AQ185" s="98">
        <v>3</v>
      </c>
      <c r="AR185" s="42">
        <v>1950</v>
      </c>
      <c r="AS185" s="42">
        <v>1136</v>
      </c>
      <c r="AT185" s="42" t="s">
        <v>29</v>
      </c>
      <c r="AU185" s="42" t="s">
        <v>29</v>
      </c>
      <c r="AV185" s="42" t="s">
        <v>29</v>
      </c>
      <c r="AY185" s="98">
        <v>3</v>
      </c>
      <c r="AZ185" s="42">
        <v>2298</v>
      </c>
      <c r="BA185" s="42">
        <v>1340</v>
      </c>
      <c r="BB185" s="42" t="s">
        <v>29</v>
      </c>
      <c r="BC185" s="42" t="s">
        <v>29</v>
      </c>
      <c r="BD185" s="42" t="s">
        <v>29</v>
      </c>
    </row>
    <row r="186" spans="1:56" x14ac:dyDescent="0.3">
      <c r="A186" s="110"/>
      <c r="B186" s="110"/>
      <c r="C186" s="98">
        <v>4</v>
      </c>
      <c r="D186" s="42">
        <v>44</v>
      </c>
      <c r="E186" s="42">
        <v>27</v>
      </c>
      <c r="F186" s="42">
        <v>16</v>
      </c>
      <c r="G186" s="42" t="s">
        <v>29</v>
      </c>
      <c r="H186" s="42" t="s">
        <v>29</v>
      </c>
      <c r="I186" s="41"/>
      <c r="J186" s="41"/>
      <c r="K186" s="98">
        <v>4</v>
      </c>
      <c r="L186" s="42">
        <v>88</v>
      </c>
      <c r="M186" s="42">
        <v>57</v>
      </c>
      <c r="N186" s="42">
        <v>32</v>
      </c>
      <c r="O186" s="42" t="s">
        <v>29</v>
      </c>
      <c r="P186" s="42" t="s">
        <v>29</v>
      </c>
      <c r="S186" s="98">
        <v>4</v>
      </c>
      <c r="T186" s="42">
        <v>220</v>
      </c>
      <c r="U186" s="42">
        <v>144</v>
      </c>
      <c r="V186" s="42">
        <v>82</v>
      </c>
      <c r="W186" s="42" t="s">
        <v>29</v>
      </c>
      <c r="X186" s="42" t="s">
        <v>29</v>
      </c>
      <c r="AA186" s="98">
        <v>4</v>
      </c>
      <c r="AB186" s="42">
        <v>660</v>
      </c>
      <c r="AC186" s="42">
        <v>432</v>
      </c>
      <c r="AD186" s="42">
        <v>246</v>
      </c>
      <c r="AE186" s="42" t="s">
        <v>29</v>
      </c>
      <c r="AF186" s="42" t="s">
        <v>29</v>
      </c>
      <c r="AI186" s="98">
        <v>4</v>
      </c>
      <c r="AJ186" s="42">
        <v>1600</v>
      </c>
      <c r="AK186" s="42">
        <v>1050</v>
      </c>
      <c r="AL186" s="42">
        <v>600</v>
      </c>
      <c r="AM186" s="42" t="s">
        <v>29</v>
      </c>
      <c r="AN186" s="42" t="s">
        <v>29</v>
      </c>
      <c r="AQ186" s="98">
        <v>4</v>
      </c>
      <c r="AR186" s="42">
        <v>1948</v>
      </c>
      <c r="AS186" s="42">
        <v>1278</v>
      </c>
      <c r="AT186" s="42">
        <v>730</v>
      </c>
      <c r="AU186" s="42" t="s">
        <v>29</v>
      </c>
      <c r="AV186" s="42" t="s">
        <v>29</v>
      </c>
      <c r="AY186" s="98">
        <v>4</v>
      </c>
      <c r="AZ186" s="42">
        <v>2300</v>
      </c>
      <c r="BA186" s="42">
        <v>1509</v>
      </c>
      <c r="BB186" s="42">
        <v>862</v>
      </c>
      <c r="BC186" s="42" t="s">
        <v>29</v>
      </c>
      <c r="BD186" s="42" t="s">
        <v>29</v>
      </c>
    </row>
    <row r="187" spans="1:56" x14ac:dyDescent="0.3">
      <c r="A187" s="110"/>
      <c r="B187" s="110"/>
      <c r="C187" s="98">
        <v>5</v>
      </c>
      <c r="D187" s="42">
        <v>40</v>
      </c>
      <c r="E187" s="42">
        <v>28</v>
      </c>
      <c r="F187" s="42">
        <v>18</v>
      </c>
      <c r="G187" s="42" t="s">
        <v>29</v>
      </c>
      <c r="H187" s="42" t="s">
        <v>29</v>
      </c>
      <c r="I187" s="41"/>
      <c r="J187" s="41"/>
      <c r="K187" s="98">
        <v>5</v>
      </c>
      <c r="L187" s="42">
        <v>85</v>
      </c>
      <c r="M187" s="42">
        <v>60</v>
      </c>
      <c r="N187" s="42">
        <v>39</v>
      </c>
      <c r="O187" s="42" t="s">
        <v>29</v>
      </c>
      <c r="P187" s="42" t="s">
        <v>29</v>
      </c>
      <c r="S187" s="98">
        <v>5</v>
      </c>
      <c r="T187" s="42">
        <v>220</v>
      </c>
      <c r="U187" s="42">
        <v>152</v>
      </c>
      <c r="V187" s="42">
        <v>99</v>
      </c>
      <c r="W187" s="42" t="s">
        <v>29</v>
      </c>
      <c r="X187" s="42" t="s">
        <v>29</v>
      </c>
      <c r="AA187" s="98">
        <v>5</v>
      </c>
      <c r="AB187" s="42">
        <v>660</v>
      </c>
      <c r="AC187" s="42">
        <v>460</v>
      </c>
      <c r="AD187" s="42">
        <v>297</v>
      </c>
      <c r="AE187" s="42" t="s">
        <v>29</v>
      </c>
      <c r="AF187" s="42" t="s">
        <v>29</v>
      </c>
      <c r="AI187" s="98">
        <v>5</v>
      </c>
      <c r="AJ187" s="42">
        <v>1600</v>
      </c>
      <c r="AK187" s="42">
        <v>1120</v>
      </c>
      <c r="AL187" s="42">
        <v>720</v>
      </c>
      <c r="AM187" s="42" t="s">
        <v>29</v>
      </c>
      <c r="AN187" s="42" t="s">
        <v>29</v>
      </c>
      <c r="AQ187" s="98">
        <v>5</v>
      </c>
      <c r="AR187" s="42">
        <v>1950</v>
      </c>
      <c r="AS187" s="42">
        <v>1364</v>
      </c>
      <c r="AT187" s="42">
        <v>876</v>
      </c>
      <c r="AU187" s="42" t="s">
        <v>29</v>
      </c>
      <c r="AV187" s="42" t="s">
        <v>29</v>
      </c>
      <c r="AY187" s="98">
        <v>5</v>
      </c>
      <c r="AZ187" s="42">
        <v>2300</v>
      </c>
      <c r="BA187" s="42">
        <v>1608</v>
      </c>
      <c r="BB187" s="42">
        <v>1035</v>
      </c>
      <c r="BC187" s="42" t="s">
        <v>29</v>
      </c>
      <c r="BD187" s="42" t="s">
        <v>29</v>
      </c>
    </row>
    <row r="188" spans="1:56" x14ac:dyDescent="0.3">
      <c r="A188" s="110"/>
      <c r="B188" s="110"/>
      <c r="C188" s="98">
        <v>6</v>
      </c>
      <c r="D188" s="42">
        <v>42</v>
      </c>
      <c r="E188" s="42">
        <v>30</v>
      </c>
      <c r="F188" s="42">
        <v>20</v>
      </c>
      <c r="G188" s="42">
        <v>12</v>
      </c>
      <c r="H188" s="42" t="s">
        <v>29</v>
      </c>
      <c r="I188" s="41"/>
      <c r="J188" s="41"/>
      <c r="K188" s="98">
        <v>6</v>
      </c>
      <c r="L188" s="42">
        <v>84</v>
      </c>
      <c r="M188" s="42">
        <v>60</v>
      </c>
      <c r="N188" s="42">
        <v>44</v>
      </c>
      <c r="O188" s="42">
        <v>27</v>
      </c>
      <c r="P188" s="42" t="s">
        <v>29</v>
      </c>
      <c r="S188" s="98">
        <v>6</v>
      </c>
      <c r="T188" s="42">
        <v>216</v>
      </c>
      <c r="U188" s="42">
        <v>160</v>
      </c>
      <c r="V188" s="42">
        <v>108</v>
      </c>
      <c r="W188" s="42">
        <v>66</v>
      </c>
      <c r="X188" s="42" t="s">
        <v>29</v>
      </c>
      <c r="AA188" s="98">
        <v>6</v>
      </c>
      <c r="AB188" s="42">
        <v>660</v>
      </c>
      <c r="AC188" s="42">
        <v>480</v>
      </c>
      <c r="AD188" s="42">
        <v>328</v>
      </c>
      <c r="AE188" s="42">
        <v>204</v>
      </c>
      <c r="AF188" s="42" t="s">
        <v>29</v>
      </c>
      <c r="AI188" s="98">
        <v>6</v>
      </c>
      <c r="AJ188" s="42">
        <v>1596</v>
      </c>
      <c r="AK188" s="42">
        <v>1165</v>
      </c>
      <c r="AL188" s="42">
        <v>800</v>
      </c>
      <c r="AM188" s="42">
        <v>498</v>
      </c>
      <c r="AN188" s="42" t="s">
        <v>29</v>
      </c>
      <c r="AQ188" s="98">
        <v>6</v>
      </c>
      <c r="AR188" s="42">
        <v>1950</v>
      </c>
      <c r="AS188" s="42">
        <v>1420</v>
      </c>
      <c r="AT188" s="42">
        <v>972</v>
      </c>
      <c r="AU188" s="42">
        <v>609</v>
      </c>
      <c r="AV188" s="42" t="s">
        <v>29</v>
      </c>
      <c r="AY188" s="98">
        <v>6</v>
      </c>
      <c r="AZ188" s="42">
        <v>2298</v>
      </c>
      <c r="BA188" s="42">
        <v>1675</v>
      </c>
      <c r="BB188" s="42">
        <v>1148</v>
      </c>
      <c r="BC188" s="42">
        <v>717</v>
      </c>
      <c r="BD188" s="42" t="s">
        <v>29</v>
      </c>
    </row>
    <row r="189" spans="1:56" x14ac:dyDescent="0.3">
      <c r="A189" s="110"/>
      <c r="B189" s="110"/>
      <c r="C189" s="98">
        <v>7</v>
      </c>
      <c r="D189" s="42">
        <v>42</v>
      </c>
      <c r="E189" s="42">
        <v>30</v>
      </c>
      <c r="F189" s="42">
        <v>20</v>
      </c>
      <c r="G189" s="42">
        <v>12</v>
      </c>
      <c r="H189" s="42" t="s">
        <v>29</v>
      </c>
      <c r="I189" s="41"/>
      <c r="J189" s="41"/>
      <c r="K189" s="98">
        <v>7</v>
      </c>
      <c r="L189" s="42">
        <v>84</v>
      </c>
      <c r="M189" s="42">
        <v>66</v>
      </c>
      <c r="N189" s="42">
        <v>45</v>
      </c>
      <c r="O189" s="42">
        <v>28</v>
      </c>
      <c r="P189" s="42" t="s">
        <v>29</v>
      </c>
      <c r="S189" s="98">
        <v>7</v>
      </c>
      <c r="T189" s="42">
        <v>217</v>
      </c>
      <c r="U189" s="42">
        <v>162</v>
      </c>
      <c r="V189" s="42">
        <v>115</v>
      </c>
      <c r="W189" s="42">
        <v>76</v>
      </c>
      <c r="X189" s="42" t="s">
        <v>29</v>
      </c>
      <c r="AA189" s="98">
        <v>7</v>
      </c>
      <c r="AB189" s="42">
        <v>658</v>
      </c>
      <c r="AC189" s="42">
        <v>492</v>
      </c>
      <c r="AD189" s="42">
        <v>350</v>
      </c>
      <c r="AE189" s="42">
        <v>232</v>
      </c>
      <c r="AF189" s="42" t="s">
        <v>29</v>
      </c>
      <c r="AI189" s="98">
        <v>7</v>
      </c>
      <c r="AJ189" s="42">
        <v>1596</v>
      </c>
      <c r="AK189" s="42">
        <v>1200</v>
      </c>
      <c r="AL189" s="42">
        <v>855</v>
      </c>
      <c r="AM189" s="42">
        <v>568</v>
      </c>
      <c r="AN189" s="42" t="s">
        <v>29</v>
      </c>
      <c r="AQ189" s="98">
        <v>7</v>
      </c>
      <c r="AR189" s="42">
        <v>1946</v>
      </c>
      <c r="AS189" s="42">
        <v>1458</v>
      </c>
      <c r="AT189" s="42">
        <v>1040</v>
      </c>
      <c r="AU189" s="42">
        <v>696</v>
      </c>
      <c r="AV189" s="42" t="s">
        <v>29</v>
      </c>
      <c r="AY189" s="98">
        <v>7</v>
      </c>
      <c r="AZ189" s="42">
        <v>2296</v>
      </c>
      <c r="BA189" s="42">
        <v>1722</v>
      </c>
      <c r="BB189" s="42">
        <v>1230</v>
      </c>
      <c r="BC189" s="42">
        <v>820</v>
      </c>
      <c r="BD189" s="42" t="s">
        <v>29</v>
      </c>
    </row>
    <row r="190" spans="1:56" x14ac:dyDescent="0.3">
      <c r="A190" s="110"/>
      <c r="B190" s="110"/>
      <c r="C190" s="98">
        <v>8</v>
      </c>
      <c r="D190" s="42">
        <v>40</v>
      </c>
      <c r="E190" s="42">
        <v>28</v>
      </c>
      <c r="F190" s="42">
        <v>24</v>
      </c>
      <c r="G190" s="42">
        <v>15</v>
      </c>
      <c r="H190" s="42">
        <v>8</v>
      </c>
      <c r="I190" s="41"/>
      <c r="J190" s="41"/>
      <c r="K190" s="98">
        <v>8</v>
      </c>
      <c r="L190" s="42">
        <v>88</v>
      </c>
      <c r="M190" s="42">
        <v>63</v>
      </c>
      <c r="N190" s="42">
        <v>48</v>
      </c>
      <c r="O190" s="42">
        <v>30</v>
      </c>
      <c r="P190" s="42">
        <v>20</v>
      </c>
      <c r="S190" s="98">
        <v>8</v>
      </c>
      <c r="T190" s="42">
        <v>216</v>
      </c>
      <c r="U190" s="42">
        <v>168</v>
      </c>
      <c r="V190" s="42">
        <v>120</v>
      </c>
      <c r="W190" s="42">
        <v>85</v>
      </c>
      <c r="X190" s="42">
        <v>52</v>
      </c>
      <c r="AA190" s="98">
        <v>8</v>
      </c>
      <c r="AB190" s="42">
        <v>656</v>
      </c>
      <c r="AC190" s="42">
        <v>504</v>
      </c>
      <c r="AD190" s="42">
        <v>366</v>
      </c>
      <c r="AE190" s="42">
        <v>255</v>
      </c>
      <c r="AF190" s="42">
        <v>164</v>
      </c>
      <c r="AI190" s="98">
        <v>8</v>
      </c>
      <c r="AJ190" s="42">
        <v>1600</v>
      </c>
      <c r="AK190" s="42">
        <v>1225</v>
      </c>
      <c r="AL190" s="42">
        <v>900</v>
      </c>
      <c r="AM190" s="42">
        <v>625</v>
      </c>
      <c r="AN190" s="42">
        <v>400</v>
      </c>
      <c r="AQ190" s="98">
        <v>8</v>
      </c>
      <c r="AR190" s="42">
        <v>1944</v>
      </c>
      <c r="AS190" s="42">
        <v>1491</v>
      </c>
      <c r="AT190" s="42">
        <v>1092</v>
      </c>
      <c r="AU190" s="42">
        <v>760</v>
      </c>
      <c r="AV190" s="42">
        <v>484</v>
      </c>
      <c r="AY190" s="98">
        <v>8</v>
      </c>
      <c r="AZ190" s="42">
        <v>2296</v>
      </c>
      <c r="BA190" s="42">
        <v>1757</v>
      </c>
      <c r="BB190" s="42">
        <v>1290</v>
      </c>
      <c r="BC190" s="42">
        <v>895</v>
      </c>
      <c r="BD190" s="42">
        <v>572</v>
      </c>
    </row>
    <row r="191" spans="1:56" x14ac:dyDescent="0.3">
      <c r="A191" s="110"/>
      <c r="B191" s="110"/>
      <c r="C191" s="98">
        <v>9</v>
      </c>
      <c r="D191" s="42">
        <v>36</v>
      </c>
      <c r="E191" s="42">
        <v>32</v>
      </c>
      <c r="F191" s="42">
        <v>21</v>
      </c>
      <c r="G191" s="42">
        <v>18</v>
      </c>
      <c r="H191" s="42">
        <v>10</v>
      </c>
      <c r="I191" s="41"/>
      <c r="J191" s="41"/>
      <c r="K191" s="98">
        <v>9</v>
      </c>
      <c r="L191" s="42">
        <v>81</v>
      </c>
      <c r="M191" s="42">
        <v>64</v>
      </c>
      <c r="N191" s="42">
        <v>49</v>
      </c>
      <c r="O191" s="42">
        <v>36</v>
      </c>
      <c r="P191" s="42">
        <v>20</v>
      </c>
      <c r="S191" s="98">
        <v>9</v>
      </c>
      <c r="T191" s="42">
        <v>216</v>
      </c>
      <c r="U191" s="42">
        <v>168</v>
      </c>
      <c r="V191" s="42">
        <v>126</v>
      </c>
      <c r="W191" s="42">
        <v>90</v>
      </c>
      <c r="X191" s="42">
        <v>60</v>
      </c>
      <c r="AA191" s="98">
        <v>9</v>
      </c>
      <c r="AB191" s="42">
        <v>657</v>
      </c>
      <c r="AC191" s="42">
        <v>512</v>
      </c>
      <c r="AD191" s="42">
        <v>385</v>
      </c>
      <c r="AE191" s="42">
        <v>270</v>
      </c>
      <c r="AF191" s="42">
        <v>180</v>
      </c>
      <c r="AI191" s="98">
        <v>9</v>
      </c>
      <c r="AJ191" s="42">
        <v>1593</v>
      </c>
      <c r="AK191" s="42">
        <v>1240</v>
      </c>
      <c r="AL191" s="42">
        <v>931</v>
      </c>
      <c r="AM191" s="42">
        <v>666</v>
      </c>
      <c r="AN191" s="42">
        <v>440</v>
      </c>
      <c r="AQ191" s="98">
        <v>9</v>
      </c>
      <c r="AR191" s="42">
        <v>1944</v>
      </c>
      <c r="AS191" s="42">
        <v>1512</v>
      </c>
      <c r="AT191" s="42">
        <v>1134</v>
      </c>
      <c r="AU191" s="42">
        <v>810</v>
      </c>
      <c r="AV191" s="42">
        <v>540</v>
      </c>
      <c r="AY191" s="98">
        <v>9</v>
      </c>
      <c r="AZ191" s="42">
        <v>4599</v>
      </c>
      <c r="BA191" s="42">
        <v>1784</v>
      </c>
      <c r="BB191" s="42">
        <v>1337</v>
      </c>
      <c r="BC191" s="42">
        <v>954</v>
      </c>
      <c r="BD191" s="42">
        <v>635</v>
      </c>
    </row>
    <row r="193" spans="1:56" ht="15" x14ac:dyDescent="0.25">
      <c r="D193" s="109" t="s">
        <v>31</v>
      </c>
      <c r="E193" s="109"/>
      <c r="F193" s="109"/>
      <c r="G193" s="109"/>
      <c r="H193" s="109"/>
      <c r="L193" s="109" t="s">
        <v>30</v>
      </c>
      <c r="M193" s="109"/>
      <c r="N193" s="109"/>
      <c r="O193" s="109"/>
      <c r="P193" s="109"/>
      <c r="T193" s="109" t="s">
        <v>32</v>
      </c>
      <c r="U193" s="109"/>
      <c r="V193" s="109"/>
      <c r="W193" s="109"/>
      <c r="X193" s="109"/>
      <c r="AB193" s="109" t="s">
        <v>33</v>
      </c>
      <c r="AC193" s="109"/>
      <c r="AD193" s="109"/>
      <c r="AE193" s="109"/>
      <c r="AF193" s="109"/>
      <c r="AJ193" s="109" t="s">
        <v>34</v>
      </c>
      <c r="AK193" s="109"/>
      <c r="AL193" s="109"/>
      <c r="AM193" s="109"/>
      <c r="AN193" s="109"/>
      <c r="AR193" s="109" t="s">
        <v>35</v>
      </c>
      <c r="AS193" s="109"/>
      <c r="AT193" s="109"/>
      <c r="AU193" s="109"/>
      <c r="AV193" s="109"/>
      <c r="AZ193" s="109" t="s">
        <v>36</v>
      </c>
      <c r="BA193" s="109"/>
      <c r="BB193" s="109"/>
      <c r="BC193" s="109"/>
      <c r="BD193" s="109"/>
    </row>
    <row r="194" spans="1:56" ht="15" x14ac:dyDescent="0.25">
      <c r="C194" s="47"/>
      <c r="D194" s="68">
        <v>0</v>
      </c>
      <c r="E194" s="68">
        <v>1</v>
      </c>
      <c r="F194" s="68">
        <v>2</v>
      </c>
      <c r="G194" s="68">
        <v>3</v>
      </c>
      <c r="H194" s="68">
        <v>4</v>
      </c>
      <c r="K194" s="47"/>
      <c r="L194" s="68">
        <v>0</v>
      </c>
      <c r="M194" s="68">
        <v>1</v>
      </c>
      <c r="N194" s="68">
        <v>2</v>
      </c>
      <c r="O194" s="68">
        <v>3</v>
      </c>
      <c r="P194" s="68">
        <v>4</v>
      </c>
      <c r="S194" s="47"/>
      <c r="T194" s="98">
        <v>0</v>
      </c>
      <c r="U194" s="98">
        <v>1</v>
      </c>
      <c r="V194" s="98">
        <v>2</v>
      </c>
      <c r="W194" s="98">
        <v>3</v>
      </c>
      <c r="X194" s="98">
        <v>4</v>
      </c>
      <c r="AA194" s="47"/>
      <c r="AB194" s="98">
        <v>0</v>
      </c>
      <c r="AC194" s="98">
        <v>1</v>
      </c>
      <c r="AD194" s="98">
        <v>2</v>
      </c>
      <c r="AE194" s="98">
        <v>3</v>
      </c>
      <c r="AF194" s="98">
        <v>4</v>
      </c>
      <c r="AI194" s="47"/>
      <c r="AJ194" s="98">
        <v>0</v>
      </c>
      <c r="AK194" s="98">
        <v>1</v>
      </c>
      <c r="AL194" s="98">
        <v>2</v>
      </c>
      <c r="AM194" s="98">
        <v>3</v>
      </c>
      <c r="AN194" s="98">
        <v>4</v>
      </c>
      <c r="AQ194" s="47"/>
      <c r="AR194" s="98">
        <v>0</v>
      </c>
      <c r="AS194" s="98">
        <v>1</v>
      </c>
      <c r="AT194" s="98">
        <v>2</v>
      </c>
      <c r="AU194" s="98">
        <v>3</v>
      </c>
      <c r="AV194" s="98">
        <v>4</v>
      </c>
      <c r="AY194" s="47"/>
      <c r="AZ194" s="98">
        <v>0</v>
      </c>
      <c r="BA194" s="98">
        <v>1</v>
      </c>
      <c r="BB194" s="98">
        <v>2</v>
      </c>
      <c r="BC194" s="98">
        <v>3</v>
      </c>
      <c r="BD194" s="98">
        <v>4</v>
      </c>
    </row>
    <row r="195" spans="1:56" x14ac:dyDescent="0.3">
      <c r="A195" s="110">
        <v>17</v>
      </c>
      <c r="B195" s="110"/>
      <c r="C195" s="68">
        <v>1</v>
      </c>
      <c r="D195" s="42">
        <v>48</v>
      </c>
      <c r="E195" s="42" t="s">
        <v>29</v>
      </c>
      <c r="F195" s="42" t="s">
        <v>29</v>
      </c>
      <c r="G195" s="42" t="s">
        <v>29</v>
      </c>
      <c r="H195" s="42" t="s">
        <v>29</v>
      </c>
      <c r="K195" s="68">
        <v>1</v>
      </c>
      <c r="L195" s="42">
        <v>96</v>
      </c>
      <c r="M195" s="42" t="s">
        <v>29</v>
      </c>
      <c r="N195" s="42" t="s">
        <v>29</v>
      </c>
      <c r="O195" s="42" t="s">
        <v>29</v>
      </c>
      <c r="P195" s="42" t="s">
        <v>29</v>
      </c>
      <c r="S195" s="98">
        <v>1</v>
      </c>
      <c r="T195" s="42">
        <v>240</v>
      </c>
      <c r="U195" s="42" t="s">
        <v>29</v>
      </c>
      <c r="V195" s="42" t="s">
        <v>29</v>
      </c>
      <c r="W195" s="42" t="s">
        <v>29</v>
      </c>
      <c r="X195" s="42" t="s">
        <v>29</v>
      </c>
      <c r="AA195" s="98">
        <v>1</v>
      </c>
      <c r="AB195" s="42">
        <v>720</v>
      </c>
      <c r="AC195" s="42" t="s">
        <v>29</v>
      </c>
      <c r="AD195" s="42" t="s">
        <v>29</v>
      </c>
      <c r="AE195" s="42" t="s">
        <v>29</v>
      </c>
      <c r="AF195" s="42" t="s">
        <v>29</v>
      </c>
      <c r="AI195" s="98">
        <v>1</v>
      </c>
      <c r="AJ195" s="42">
        <v>1700</v>
      </c>
      <c r="AK195" s="42" t="s">
        <v>29</v>
      </c>
      <c r="AL195" s="42" t="s">
        <v>29</v>
      </c>
      <c r="AM195" s="42" t="s">
        <v>29</v>
      </c>
      <c r="AN195" s="42" t="s">
        <v>29</v>
      </c>
      <c r="AQ195" s="98">
        <v>1</v>
      </c>
      <c r="AR195" s="42">
        <v>2050</v>
      </c>
      <c r="AS195" s="42" t="s">
        <v>29</v>
      </c>
      <c r="AT195" s="42" t="s">
        <v>29</v>
      </c>
      <c r="AU195" s="42" t="s">
        <v>29</v>
      </c>
      <c r="AV195" s="42" t="s">
        <v>29</v>
      </c>
      <c r="AY195" s="98">
        <v>1</v>
      </c>
      <c r="AZ195" s="42">
        <v>2400</v>
      </c>
      <c r="BA195" s="42" t="s">
        <v>29</v>
      </c>
      <c r="BB195" s="42" t="s">
        <v>29</v>
      </c>
      <c r="BC195" s="42" t="s">
        <v>29</v>
      </c>
      <c r="BD195" s="42" t="s">
        <v>29</v>
      </c>
    </row>
    <row r="196" spans="1:56" x14ac:dyDescent="0.3">
      <c r="A196" s="110"/>
      <c r="B196" s="110"/>
      <c r="C196" s="68">
        <v>2</v>
      </c>
      <c r="D196" s="42">
        <v>48</v>
      </c>
      <c r="E196" s="42">
        <v>21</v>
      </c>
      <c r="F196" s="42" t="s">
        <v>29</v>
      </c>
      <c r="G196" s="42" t="s">
        <v>29</v>
      </c>
      <c r="H196" s="42" t="s">
        <v>29</v>
      </c>
      <c r="I196" s="4"/>
      <c r="J196" s="4"/>
      <c r="K196" s="68">
        <v>2</v>
      </c>
      <c r="L196" s="42">
        <v>96</v>
      </c>
      <c r="M196" s="42">
        <v>42</v>
      </c>
      <c r="N196" s="42" t="s">
        <v>29</v>
      </c>
      <c r="O196" s="42" t="s">
        <v>29</v>
      </c>
      <c r="P196" s="42" t="s">
        <v>29</v>
      </c>
      <c r="S196" s="98">
        <v>2</v>
      </c>
      <c r="T196" s="42">
        <v>240</v>
      </c>
      <c r="U196" s="42">
        <v>105</v>
      </c>
      <c r="V196" s="42" t="s">
        <v>29</v>
      </c>
      <c r="W196" s="42" t="s">
        <v>29</v>
      </c>
      <c r="X196" s="42" t="s">
        <v>29</v>
      </c>
      <c r="AA196" s="98">
        <v>2</v>
      </c>
      <c r="AB196" s="42">
        <v>720</v>
      </c>
      <c r="AC196" s="42">
        <v>315</v>
      </c>
      <c r="AD196" s="42" t="s">
        <v>29</v>
      </c>
      <c r="AE196" s="42" t="s">
        <v>29</v>
      </c>
      <c r="AF196" s="42" t="s">
        <v>29</v>
      </c>
      <c r="AI196" s="98">
        <v>2</v>
      </c>
      <c r="AJ196" s="42">
        <v>1700</v>
      </c>
      <c r="AK196" s="42">
        <v>743</v>
      </c>
      <c r="AL196" s="42" t="s">
        <v>29</v>
      </c>
      <c r="AM196" s="42" t="s">
        <v>29</v>
      </c>
      <c r="AN196" s="42" t="s">
        <v>29</v>
      </c>
      <c r="AQ196" s="98">
        <v>2</v>
      </c>
      <c r="AR196" s="42">
        <v>2050</v>
      </c>
      <c r="AS196" s="42">
        <v>896</v>
      </c>
      <c r="AT196" s="42" t="s">
        <v>29</v>
      </c>
      <c r="AU196" s="42" t="s">
        <v>29</v>
      </c>
      <c r="AV196" s="42" t="s">
        <v>29</v>
      </c>
      <c r="AY196" s="98">
        <v>2</v>
      </c>
      <c r="AZ196" s="42">
        <v>2400</v>
      </c>
      <c r="BA196" s="42">
        <v>1050</v>
      </c>
      <c r="BB196" s="42" t="s">
        <v>29</v>
      </c>
      <c r="BC196" s="42" t="s">
        <v>29</v>
      </c>
      <c r="BD196" s="42" t="s">
        <v>29</v>
      </c>
    </row>
    <row r="197" spans="1:56" x14ac:dyDescent="0.3">
      <c r="A197" s="110"/>
      <c r="B197" s="110"/>
      <c r="C197" s="68">
        <v>3</v>
      </c>
      <c r="D197" s="42">
        <v>48</v>
      </c>
      <c r="E197" s="42">
        <v>28</v>
      </c>
      <c r="F197" s="42" t="s">
        <v>29</v>
      </c>
      <c r="G197" s="42" t="s">
        <v>29</v>
      </c>
      <c r="H197" s="42" t="s">
        <v>29</v>
      </c>
      <c r="I197" s="4"/>
      <c r="J197" s="4"/>
      <c r="K197" s="68">
        <v>3</v>
      </c>
      <c r="L197" s="42">
        <v>96</v>
      </c>
      <c r="M197" s="42">
        <v>56</v>
      </c>
      <c r="N197" s="42" t="s">
        <v>29</v>
      </c>
      <c r="O197" s="42" t="s">
        <v>29</v>
      </c>
      <c r="P197" s="42" t="s">
        <v>29</v>
      </c>
      <c r="S197" s="98">
        <v>3</v>
      </c>
      <c r="T197" s="42">
        <v>240</v>
      </c>
      <c r="U197" s="42">
        <v>140</v>
      </c>
      <c r="V197" s="42" t="s">
        <v>29</v>
      </c>
      <c r="W197" s="42" t="s">
        <v>29</v>
      </c>
      <c r="X197" s="42" t="s">
        <v>29</v>
      </c>
      <c r="AA197" s="98">
        <v>3</v>
      </c>
      <c r="AB197" s="42">
        <v>720</v>
      </c>
      <c r="AC197" s="42">
        <v>420</v>
      </c>
      <c r="AD197" s="42" t="s">
        <v>29</v>
      </c>
      <c r="AE197" s="42" t="s">
        <v>29</v>
      </c>
      <c r="AF197" s="42" t="s">
        <v>29</v>
      </c>
      <c r="AI197" s="98">
        <v>3</v>
      </c>
      <c r="AJ197" s="42">
        <v>1698</v>
      </c>
      <c r="AK197" s="42">
        <v>990</v>
      </c>
      <c r="AL197" s="42" t="s">
        <v>29</v>
      </c>
      <c r="AM197" s="42" t="s">
        <v>29</v>
      </c>
      <c r="AN197" s="42" t="s">
        <v>29</v>
      </c>
      <c r="AQ197" s="98">
        <v>3</v>
      </c>
      <c r="AR197" s="42">
        <v>2049</v>
      </c>
      <c r="AS197" s="42">
        <v>1194</v>
      </c>
      <c r="AT197" s="42" t="s">
        <v>29</v>
      </c>
      <c r="AU197" s="42" t="s">
        <v>29</v>
      </c>
      <c r="AV197" s="42" t="s">
        <v>29</v>
      </c>
      <c r="AY197" s="98">
        <v>3</v>
      </c>
      <c r="AZ197" s="42">
        <v>2400</v>
      </c>
      <c r="BA197" s="42">
        <v>1400</v>
      </c>
      <c r="BB197" s="42" t="s">
        <v>29</v>
      </c>
      <c r="BC197" s="42" t="s">
        <v>29</v>
      </c>
      <c r="BD197" s="42" t="s">
        <v>29</v>
      </c>
    </row>
    <row r="198" spans="1:56" x14ac:dyDescent="0.3">
      <c r="A198" s="110"/>
      <c r="B198" s="110"/>
      <c r="C198" s="68">
        <v>4</v>
      </c>
      <c r="D198" s="42">
        <v>48</v>
      </c>
      <c r="E198" s="42">
        <v>30</v>
      </c>
      <c r="F198" s="42">
        <v>18</v>
      </c>
      <c r="G198" s="42" t="s">
        <v>29</v>
      </c>
      <c r="H198" s="42" t="s">
        <v>29</v>
      </c>
      <c r="I198" s="41"/>
      <c r="J198" s="41"/>
      <c r="K198" s="68">
        <v>4</v>
      </c>
      <c r="L198" s="42">
        <v>96</v>
      </c>
      <c r="M198" s="42">
        <v>63</v>
      </c>
      <c r="N198" s="42">
        <v>36</v>
      </c>
      <c r="O198" s="42" t="s">
        <v>29</v>
      </c>
      <c r="P198" s="42" t="s">
        <v>29</v>
      </c>
      <c r="S198" s="98">
        <v>4</v>
      </c>
      <c r="T198" s="42">
        <v>240</v>
      </c>
      <c r="U198" s="42">
        <v>156</v>
      </c>
      <c r="V198" s="42">
        <v>90</v>
      </c>
      <c r="W198" s="42" t="s">
        <v>29</v>
      </c>
      <c r="X198" s="42" t="s">
        <v>29</v>
      </c>
      <c r="AA198" s="98">
        <v>4</v>
      </c>
      <c r="AB198" s="42">
        <v>720</v>
      </c>
      <c r="AC198" s="42">
        <v>471</v>
      </c>
      <c r="AD198" s="42">
        <v>270</v>
      </c>
      <c r="AE198" s="42" t="s">
        <v>29</v>
      </c>
      <c r="AF198" s="42" t="s">
        <v>29</v>
      </c>
      <c r="AI198" s="98">
        <v>4</v>
      </c>
      <c r="AJ198" s="42">
        <v>1700</v>
      </c>
      <c r="AK198" s="42">
        <v>1113</v>
      </c>
      <c r="AL198" s="42">
        <v>636</v>
      </c>
      <c r="AM198" s="42" t="s">
        <v>29</v>
      </c>
      <c r="AN198" s="42" t="s">
        <v>29</v>
      </c>
      <c r="AQ198" s="98">
        <v>4</v>
      </c>
      <c r="AR198" s="42">
        <v>2048</v>
      </c>
      <c r="AS198" s="42">
        <v>1344</v>
      </c>
      <c r="AT198" s="42">
        <v>768</v>
      </c>
      <c r="AU198" s="42" t="s">
        <v>29</v>
      </c>
      <c r="AV198" s="42" t="s">
        <v>29</v>
      </c>
      <c r="AY198" s="98">
        <v>4</v>
      </c>
      <c r="AZ198" s="42">
        <v>2400</v>
      </c>
      <c r="BA198" s="42">
        <v>1575</v>
      </c>
      <c r="BB198" s="42">
        <v>900</v>
      </c>
      <c r="BC198" s="42" t="s">
        <v>29</v>
      </c>
      <c r="BD198" s="42" t="s">
        <v>29</v>
      </c>
    </row>
    <row r="199" spans="1:56" x14ac:dyDescent="0.3">
      <c r="A199" s="110"/>
      <c r="B199" s="110"/>
      <c r="C199" s="68">
        <v>5</v>
      </c>
      <c r="D199" s="42">
        <v>45</v>
      </c>
      <c r="E199" s="42">
        <v>32</v>
      </c>
      <c r="F199" s="42">
        <v>21</v>
      </c>
      <c r="G199" s="42" t="s">
        <v>29</v>
      </c>
      <c r="H199" s="42" t="s">
        <v>29</v>
      </c>
      <c r="I199" s="41"/>
      <c r="J199" s="41"/>
      <c r="K199" s="68">
        <v>5</v>
      </c>
      <c r="L199" s="42">
        <v>95</v>
      </c>
      <c r="M199" s="42">
        <v>64</v>
      </c>
      <c r="N199" s="42">
        <v>42</v>
      </c>
      <c r="O199" s="42" t="s">
        <v>29</v>
      </c>
      <c r="P199" s="42" t="s">
        <v>29</v>
      </c>
      <c r="S199" s="98">
        <v>5</v>
      </c>
      <c r="T199" s="42">
        <v>240</v>
      </c>
      <c r="U199" s="42">
        <v>168</v>
      </c>
      <c r="V199" s="42">
        <v>108</v>
      </c>
      <c r="W199" s="42" t="s">
        <v>29</v>
      </c>
      <c r="X199" s="42" t="s">
        <v>29</v>
      </c>
      <c r="AA199" s="98">
        <v>5</v>
      </c>
      <c r="AB199" s="42">
        <v>720</v>
      </c>
      <c r="AC199" s="42">
        <v>504</v>
      </c>
      <c r="AD199" s="42">
        <v>324</v>
      </c>
      <c r="AE199" s="42" t="s">
        <v>29</v>
      </c>
      <c r="AF199" s="42" t="s">
        <v>29</v>
      </c>
      <c r="AI199" s="98">
        <v>5</v>
      </c>
      <c r="AJ199" s="42">
        <v>1700</v>
      </c>
      <c r="AK199" s="42">
        <v>1188</v>
      </c>
      <c r="AL199" s="42">
        <v>1533</v>
      </c>
      <c r="AM199" s="42" t="s">
        <v>29</v>
      </c>
      <c r="AN199" s="42" t="s">
        <v>29</v>
      </c>
      <c r="AQ199" s="98">
        <v>5</v>
      </c>
      <c r="AR199" s="42">
        <v>2050</v>
      </c>
      <c r="AS199" s="42">
        <v>1432</v>
      </c>
      <c r="AT199" s="42">
        <v>921</v>
      </c>
      <c r="AU199" s="42" t="s">
        <v>29</v>
      </c>
      <c r="AV199" s="42" t="s">
        <v>29</v>
      </c>
      <c r="AY199" s="98">
        <v>5</v>
      </c>
      <c r="AZ199" s="42">
        <v>2400</v>
      </c>
      <c r="BA199" s="42">
        <v>1680</v>
      </c>
      <c r="BB199" s="42">
        <v>1080</v>
      </c>
      <c r="BC199" s="42" t="s">
        <v>29</v>
      </c>
      <c r="BD199" s="42" t="s">
        <v>29</v>
      </c>
    </row>
    <row r="200" spans="1:56" x14ac:dyDescent="0.3">
      <c r="A200" s="110"/>
      <c r="B200" s="110"/>
      <c r="C200" s="68">
        <v>6</v>
      </c>
      <c r="D200" s="42">
        <v>48</v>
      </c>
      <c r="E200" s="42">
        <v>35</v>
      </c>
      <c r="F200" s="42">
        <v>24</v>
      </c>
      <c r="G200" s="42">
        <v>15</v>
      </c>
      <c r="H200" s="42" t="s">
        <v>29</v>
      </c>
      <c r="I200" s="41"/>
      <c r="J200" s="41"/>
      <c r="K200" s="68">
        <v>6</v>
      </c>
      <c r="L200" s="42">
        <v>96</v>
      </c>
      <c r="M200" s="42">
        <v>70</v>
      </c>
      <c r="N200" s="42">
        <v>48</v>
      </c>
      <c r="O200" s="42">
        <v>30</v>
      </c>
      <c r="P200" s="42" t="s">
        <v>29</v>
      </c>
      <c r="S200" s="98">
        <v>6</v>
      </c>
      <c r="T200" s="42">
        <v>240</v>
      </c>
      <c r="U200" s="42">
        <v>175</v>
      </c>
      <c r="V200" s="42">
        <v>120</v>
      </c>
      <c r="W200" s="42">
        <v>75</v>
      </c>
      <c r="X200" s="42" t="s">
        <v>29</v>
      </c>
      <c r="AA200" s="98">
        <v>6</v>
      </c>
      <c r="AB200" s="42">
        <v>720</v>
      </c>
      <c r="AC200" s="42">
        <v>525</v>
      </c>
      <c r="AD200" s="42">
        <v>360</v>
      </c>
      <c r="AE200" s="42">
        <v>225</v>
      </c>
      <c r="AF200" s="42" t="s">
        <v>29</v>
      </c>
      <c r="AI200" s="98">
        <v>6</v>
      </c>
      <c r="AJ200" s="42">
        <v>1698</v>
      </c>
      <c r="AK200" s="42">
        <v>1235</v>
      </c>
      <c r="AL200" s="42">
        <v>848</v>
      </c>
      <c r="AM200" s="42">
        <v>531</v>
      </c>
      <c r="AN200" s="42" t="s">
        <v>29</v>
      </c>
      <c r="AQ200" s="98">
        <v>6</v>
      </c>
      <c r="AR200" s="42">
        <v>2046</v>
      </c>
      <c r="AS200" s="42">
        <v>1490</v>
      </c>
      <c r="AT200" s="42">
        <v>1024</v>
      </c>
      <c r="AU200" s="42">
        <v>639</v>
      </c>
      <c r="AV200" s="42" t="s">
        <v>29</v>
      </c>
      <c r="AY200" s="98">
        <v>6</v>
      </c>
      <c r="AZ200" s="42">
        <v>2400</v>
      </c>
      <c r="BA200" s="42">
        <v>1750</v>
      </c>
      <c r="BB200" s="42">
        <v>1200</v>
      </c>
      <c r="BC200" s="42">
        <v>750</v>
      </c>
      <c r="BD200" s="42" t="s">
        <v>29</v>
      </c>
    </row>
    <row r="201" spans="1:56" x14ac:dyDescent="0.3">
      <c r="A201" s="110"/>
      <c r="B201" s="110"/>
      <c r="C201" s="68">
        <v>7</v>
      </c>
      <c r="D201" s="42">
        <v>42</v>
      </c>
      <c r="E201" s="42">
        <v>36</v>
      </c>
      <c r="F201" s="42">
        <v>25</v>
      </c>
      <c r="G201" s="42">
        <v>16</v>
      </c>
      <c r="H201" s="42" t="s">
        <v>29</v>
      </c>
      <c r="I201" s="41"/>
      <c r="J201" s="41"/>
      <c r="K201" s="68">
        <v>7</v>
      </c>
      <c r="L201" s="42">
        <v>91</v>
      </c>
      <c r="M201" s="42">
        <v>72</v>
      </c>
      <c r="N201" s="42">
        <v>50</v>
      </c>
      <c r="O201" s="42">
        <v>32</v>
      </c>
      <c r="P201" s="42" t="s">
        <v>29</v>
      </c>
      <c r="S201" s="98">
        <v>7</v>
      </c>
      <c r="T201" s="42">
        <v>238</v>
      </c>
      <c r="U201" s="42">
        <v>180</v>
      </c>
      <c r="V201" s="42">
        <v>125</v>
      </c>
      <c r="W201" s="42">
        <v>84</v>
      </c>
      <c r="X201" s="42" t="s">
        <v>29</v>
      </c>
      <c r="AA201" s="98">
        <v>7</v>
      </c>
      <c r="AB201" s="42">
        <v>714</v>
      </c>
      <c r="AC201" s="42">
        <v>540</v>
      </c>
      <c r="AD201" s="42">
        <v>385</v>
      </c>
      <c r="AE201" s="42">
        <v>256</v>
      </c>
      <c r="AF201" s="42" t="s">
        <v>29</v>
      </c>
      <c r="AI201" s="98">
        <v>7</v>
      </c>
      <c r="AJ201" s="42">
        <v>1694</v>
      </c>
      <c r="AK201" s="42">
        <v>1272</v>
      </c>
      <c r="AL201" s="42">
        <v>910</v>
      </c>
      <c r="AM201" s="42">
        <v>604</v>
      </c>
      <c r="AN201" s="42" t="s">
        <v>29</v>
      </c>
      <c r="AQ201" s="98">
        <v>7</v>
      </c>
      <c r="AR201" s="42">
        <v>2044</v>
      </c>
      <c r="AS201" s="42">
        <v>1536</v>
      </c>
      <c r="AT201" s="42">
        <v>1095</v>
      </c>
      <c r="AU201" s="42">
        <v>732</v>
      </c>
      <c r="AV201" s="42" t="s">
        <v>29</v>
      </c>
      <c r="AY201" s="98">
        <v>7</v>
      </c>
      <c r="AZ201" s="42">
        <v>2394</v>
      </c>
      <c r="BA201" s="42">
        <v>1800</v>
      </c>
      <c r="BB201" s="42">
        <v>1285</v>
      </c>
      <c r="BC201" s="42">
        <v>856</v>
      </c>
      <c r="BD201" s="42" t="s">
        <v>29</v>
      </c>
    </row>
    <row r="202" spans="1:56" x14ac:dyDescent="0.3">
      <c r="A202" s="110"/>
      <c r="B202" s="110"/>
      <c r="C202" s="68">
        <v>8</v>
      </c>
      <c r="D202" s="42">
        <v>48</v>
      </c>
      <c r="E202" s="42">
        <v>35</v>
      </c>
      <c r="F202" s="42">
        <v>24</v>
      </c>
      <c r="G202" s="42">
        <v>15</v>
      </c>
      <c r="H202" s="42">
        <v>12</v>
      </c>
      <c r="I202" s="41"/>
      <c r="J202" s="41"/>
      <c r="K202" s="68">
        <v>8</v>
      </c>
      <c r="L202" s="42">
        <v>96</v>
      </c>
      <c r="M202" s="42">
        <v>70</v>
      </c>
      <c r="N202" s="42">
        <v>54</v>
      </c>
      <c r="O202" s="42">
        <v>35</v>
      </c>
      <c r="P202" s="42">
        <v>24</v>
      </c>
      <c r="S202" s="98">
        <v>8</v>
      </c>
      <c r="T202" s="42">
        <v>240</v>
      </c>
      <c r="U202" s="42">
        <v>182</v>
      </c>
      <c r="V202" s="42">
        <v>132</v>
      </c>
      <c r="W202" s="42">
        <v>90</v>
      </c>
      <c r="X202" s="42">
        <v>60</v>
      </c>
      <c r="AA202" s="98">
        <v>8</v>
      </c>
      <c r="AB202" s="42">
        <v>720</v>
      </c>
      <c r="AC202" s="42">
        <v>546</v>
      </c>
      <c r="AD202" s="42">
        <v>402</v>
      </c>
      <c r="AE202" s="42">
        <v>280</v>
      </c>
      <c r="AF202" s="42">
        <v>180</v>
      </c>
      <c r="AI202" s="98">
        <v>8</v>
      </c>
      <c r="AJ202" s="42">
        <v>1696</v>
      </c>
      <c r="AK202" s="42">
        <v>1295</v>
      </c>
      <c r="AL202" s="42">
        <v>954</v>
      </c>
      <c r="AM202" s="42">
        <v>660</v>
      </c>
      <c r="AN202" s="42">
        <v>424</v>
      </c>
      <c r="AQ202" s="98">
        <v>8</v>
      </c>
      <c r="AR202" s="42">
        <v>2048</v>
      </c>
      <c r="AS202" s="42">
        <v>1568</v>
      </c>
      <c r="AT202" s="42">
        <v>1152</v>
      </c>
      <c r="AU202" s="42">
        <v>800</v>
      </c>
      <c r="AV202" s="42">
        <v>512</v>
      </c>
      <c r="AY202" s="98">
        <v>8</v>
      </c>
      <c r="AZ202" s="42">
        <v>2400</v>
      </c>
      <c r="BA202" s="42">
        <v>1834</v>
      </c>
      <c r="BB202" s="42">
        <v>1350</v>
      </c>
      <c r="BC202" s="42">
        <v>935</v>
      </c>
      <c r="BD202" s="42">
        <v>600</v>
      </c>
    </row>
    <row r="203" spans="1:56" x14ac:dyDescent="0.3">
      <c r="A203" s="110"/>
      <c r="B203" s="110"/>
      <c r="C203" s="68">
        <v>9</v>
      </c>
      <c r="D203" s="42">
        <v>45</v>
      </c>
      <c r="E203" s="42">
        <v>32</v>
      </c>
      <c r="F203" s="42">
        <v>28</v>
      </c>
      <c r="G203" s="42">
        <v>18</v>
      </c>
      <c r="H203" s="42">
        <v>10</v>
      </c>
      <c r="I203" s="41"/>
      <c r="J203" s="41"/>
      <c r="K203" s="68">
        <v>9</v>
      </c>
      <c r="L203" s="42">
        <v>90</v>
      </c>
      <c r="M203" s="42">
        <v>72</v>
      </c>
      <c r="N203" s="42">
        <v>56</v>
      </c>
      <c r="O203" s="42">
        <v>36</v>
      </c>
      <c r="P203" s="42">
        <v>25</v>
      </c>
      <c r="S203" s="98">
        <v>9</v>
      </c>
      <c r="T203" s="42">
        <v>234</v>
      </c>
      <c r="U203" s="42">
        <v>184</v>
      </c>
      <c r="V203" s="42">
        <v>140</v>
      </c>
      <c r="W203" s="42">
        <v>96</v>
      </c>
      <c r="X203" s="42">
        <v>65</v>
      </c>
      <c r="AA203" s="98">
        <v>9</v>
      </c>
      <c r="AB203" s="42">
        <v>720</v>
      </c>
      <c r="AC203" s="42">
        <v>560</v>
      </c>
      <c r="AD203" s="42">
        <v>420</v>
      </c>
      <c r="AE203" s="42">
        <v>300</v>
      </c>
      <c r="AF203" s="42">
        <v>200</v>
      </c>
      <c r="AI203" s="98">
        <v>9</v>
      </c>
      <c r="AJ203" s="42">
        <v>1692</v>
      </c>
      <c r="AK203" s="42">
        <v>1320</v>
      </c>
      <c r="AL203" s="42">
        <v>987</v>
      </c>
      <c r="AM203" s="42">
        <v>708</v>
      </c>
      <c r="AN203" s="42">
        <v>470</v>
      </c>
      <c r="AQ203" s="98">
        <v>9</v>
      </c>
      <c r="AR203" s="42">
        <v>2043</v>
      </c>
      <c r="AS203" s="42">
        <v>1592</v>
      </c>
      <c r="AT203" s="42">
        <v>1190</v>
      </c>
      <c r="AU203" s="42">
        <v>852</v>
      </c>
      <c r="AV203" s="42">
        <v>565</v>
      </c>
      <c r="AY203" s="98">
        <v>9</v>
      </c>
      <c r="AZ203" s="42">
        <v>2394</v>
      </c>
      <c r="BA203" s="42">
        <v>1864</v>
      </c>
      <c r="BB203" s="42">
        <v>1400</v>
      </c>
      <c r="BC203" s="42">
        <v>996</v>
      </c>
      <c r="BD203" s="42">
        <v>665</v>
      </c>
    </row>
    <row r="205" spans="1:56" ht="15" x14ac:dyDescent="0.25">
      <c r="D205" s="109" t="s">
        <v>31</v>
      </c>
      <c r="E205" s="109"/>
      <c r="F205" s="109"/>
      <c r="G205" s="109"/>
      <c r="H205" s="109"/>
      <c r="L205" s="109" t="s">
        <v>30</v>
      </c>
      <c r="M205" s="109"/>
      <c r="N205" s="109"/>
      <c r="O205" s="109"/>
      <c r="P205" s="109"/>
      <c r="T205" s="109" t="s">
        <v>32</v>
      </c>
      <c r="U205" s="109"/>
      <c r="V205" s="109"/>
      <c r="W205" s="109"/>
      <c r="X205" s="109"/>
      <c r="AB205" s="109" t="s">
        <v>33</v>
      </c>
      <c r="AC205" s="109"/>
      <c r="AD205" s="109"/>
      <c r="AE205" s="109"/>
      <c r="AF205" s="109"/>
      <c r="AJ205" s="109" t="s">
        <v>34</v>
      </c>
      <c r="AK205" s="109"/>
      <c r="AL205" s="109"/>
      <c r="AM205" s="109"/>
      <c r="AN205" s="109"/>
      <c r="AR205" s="109" t="s">
        <v>35</v>
      </c>
      <c r="AS205" s="109"/>
      <c r="AT205" s="109"/>
      <c r="AU205" s="109"/>
      <c r="AV205" s="109"/>
      <c r="AZ205" s="109" t="s">
        <v>36</v>
      </c>
      <c r="BA205" s="109"/>
      <c r="BB205" s="109"/>
      <c r="BC205" s="109"/>
      <c r="BD205" s="109"/>
    </row>
    <row r="206" spans="1:56" ht="15" x14ac:dyDescent="0.25">
      <c r="C206" s="47"/>
      <c r="D206" s="68">
        <v>0</v>
      </c>
      <c r="E206" s="68">
        <v>1</v>
      </c>
      <c r="F206" s="68">
        <v>2</v>
      </c>
      <c r="G206" s="68">
        <v>3</v>
      </c>
      <c r="H206" s="68">
        <v>4</v>
      </c>
      <c r="K206" s="47"/>
      <c r="L206" s="68">
        <v>0</v>
      </c>
      <c r="M206" s="68">
        <v>1</v>
      </c>
      <c r="N206" s="68">
        <v>2</v>
      </c>
      <c r="O206" s="68">
        <v>3</v>
      </c>
      <c r="P206" s="68">
        <v>4</v>
      </c>
      <c r="S206" s="47"/>
      <c r="T206" s="98">
        <v>0</v>
      </c>
      <c r="U206" s="98">
        <v>1</v>
      </c>
      <c r="V206" s="98">
        <v>2</v>
      </c>
      <c r="W206" s="98">
        <v>3</v>
      </c>
      <c r="X206" s="98">
        <v>4</v>
      </c>
      <c r="AA206" s="47"/>
      <c r="AB206" s="98">
        <v>0</v>
      </c>
      <c r="AC206" s="98">
        <v>1</v>
      </c>
      <c r="AD206" s="98">
        <v>2</v>
      </c>
      <c r="AE206" s="98">
        <v>3</v>
      </c>
      <c r="AF206" s="98">
        <v>4</v>
      </c>
      <c r="AI206" s="47"/>
      <c r="AJ206" s="98">
        <v>0</v>
      </c>
      <c r="AK206" s="98">
        <v>1</v>
      </c>
      <c r="AL206" s="98">
        <v>2</v>
      </c>
      <c r="AM206" s="98">
        <v>3</v>
      </c>
      <c r="AN206" s="98">
        <v>4</v>
      </c>
      <c r="AQ206" s="47"/>
      <c r="AR206" s="98">
        <v>0</v>
      </c>
      <c r="AS206" s="98">
        <v>1</v>
      </c>
      <c r="AT206" s="98">
        <v>2</v>
      </c>
      <c r="AU206" s="98">
        <v>3</v>
      </c>
      <c r="AV206" s="98">
        <v>4</v>
      </c>
      <c r="AY206" s="47"/>
      <c r="AZ206" s="98">
        <v>0</v>
      </c>
      <c r="BA206" s="98">
        <v>1</v>
      </c>
      <c r="BB206" s="98">
        <v>2</v>
      </c>
      <c r="BC206" s="98">
        <v>3</v>
      </c>
      <c r="BD206" s="98">
        <v>4</v>
      </c>
    </row>
    <row r="207" spans="1:56" x14ac:dyDescent="0.3">
      <c r="A207" s="110">
        <v>18</v>
      </c>
      <c r="B207" s="110"/>
      <c r="C207" s="68">
        <v>1</v>
      </c>
      <c r="D207" s="42">
        <v>52</v>
      </c>
      <c r="E207" s="42" t="s">
        <v>29</v>
      </c>
      <c r="F207" s="42" t="s">
        <v>29</v>
      </c>
      <c r="G207" s="42" t="s">
        <v>29</v>
      </c>
      <c r="H207" s="42" t="s">
        <v>29</v>
      </c>
      <c r="K207" s="68">
        <v>1</v>
      </c>
      <c r="L207" s="42">
        <v>104</v>
      </c>
      <c r="M207" s="42" t="s">
        <v>29</v>
      </c>
      <c r="N207" s="42" t="s">
        <v>29</v>
      </c>
      <c r="O207" s="42" t="s">
        <v>29</v>
      </c>
      <c r="P207" s="42" t="s">
        <v>29</v>
      </c>
      <c r="S207" s="98">
        <v>1</v>
      </c>
      <c r="T207" s="42">
        <v>260</v>
      </c>
      <c r="U207" s="42" t="s">
        <v>29</v>
      </c>
      <c r="V207" s="42" t="s">
        <v>29</v>
      </c>
      <c r="W207" s="42" t="s">
        <v>29</v>
      </c>
      <c r="X207" s="42" t="s">
        <v>29</v>
      </c>
      <c r="AA207" s="98">
        <v>1</v>
      </c>
      <c r="AB207" s="42">
        <v>780</v>
      </c>
      <c r="AC207" s="42" t="s">
        <v>29</v>
      </c>
      <c r="AD207" s="42" t="s">
        <v>29</v>
      </c>
      <c r="AE207" s="42" t="s">
        <v>29</v>
      </c>
      <c r="AF207" s="42" t="s">
        <v>29</v>
      </c>
      <c r="AI207" s="98">
        <v>1</v>
      </c>
      <c r="AJ207" s="42">
        <v>1800</v>
      </c>
      <c r="AK207" s="42" t="s">
        <v>29</v>
      </c>
      <c r="AL207" s="42" t="s">
        <v>29</v>
      </c>
      <c r="AM207" s="42" t="s">
        <v>29</v>
      </c>
      <c r="AN207" s="42" t="s">
        <v>29</v>
      </c>
      <c r="AQ207" s="98">
        <v>1</v>
      </c>
      <c r="AR207" s="42">
        <v>2200</v>
      </c>
      <c r="AS207" s="42" t="s">
        <v>29</v>
      </c>
      <c r="AT207" s="42" t="s">
        <v>29</v>
      </c>
      <c r="AU207" s="42" t="s">
        <v>29</v>
      </c>
      <c r="AV207" s="42" t="s">
        <v>29</v>
      </c>
      <c r="AY207" s="98">
        <v>1</v>
      </c>
      <c r="AZ207" s="42">
        <v>2550</v>
      </c>
      <c r="BA207" s="42" t="s">
        <v>29</v>
      </c>
      <c r="BB207" s="42" t="s">
        <v>29</v>
      </c>
      <c r="BC207" s="42" t="s">
        <v>29</v>
      </c>
      <c r="BD207" s="42" t="s">
        <v>29</v>
      </c>
    </row>
    <row r="208" spans="1:56" x14ac:dyDescent="0.3">
      <c r="A208" s="110"/>
      <c r="B208" s="110"/>
      <c r="C208" s="68">
        <v>2</v>
      </c>
      <c r="D208" s="42">
        <v>52</v>
      </c>
      <c r="E208" s="42">
        <v>22</v>
      </c>
      <c r="F208" s="42" t="s">
        <v>29</v>
      </c>
      <c r="G208" s="42" t="s">
        <v>29</v>
      </c>
      <c r="H208" s="42" t="s">
        <v>29</v>
      </c>
      <c r="I208" s="4"/>
      <c r="J208" s="4"/>
      <c r="K208" s="68">
        <v>2</v>
      </c>
      <c r="L208" s="42">
        <v>104</v>
      </c>
      <c r="M208" s="42">
        <v>45</v>
      </c>
      <c r="N208" s="42" t="s">
        <v>29</v>
      </c>
      <c r="O208" s="42" t="s">
        <v>29</v>
      </c>
      <c r="P208" s="42" t="s">
        <v>29</v>
      </c>
      <c r="S208" s="98">
        <v>2</v>
      </c>
      <c r="T208" s="42">
        <v>260</v>
      </c>
      <c r="U208" s="42">
        <v>113</v>
      </c>
      <c r="V208" s="42" t="s">
        <v>29</v>
      </c>
      <c r="W208" s="42" t="s">
        <v>29</v>
      </c>
      <c r="X208" s="42" t="s">
        <v>29</v>
      </c>
      <c r="AA208" s="98">
        <v>2</v>
      </c>
      <c r="AB208" s="42">
        <v>780</v>
      </c>
      <c r="AC208" s="42">
        <v>341</v>
      </c>
      <c r="AD208" s="42" t="s">
        <v>29</v>
      </c>
      <c r="AE208" s="42" t="s">
        <v>29</v>
      </c>
      <c r="AF208" s="42" t="s">
        <v>29</v>
      </c>
      <c r="AI208" s="98">
        <v>2</v>
      </c>
      <c r="AJ208" s="42">
        <v>1800</v>
      </c>
      <c r="AK208" s="42">
        <v>787</v>
      </c>
      <c r="AL208" s="42" t="s">
        <v>29</v>
      </c>
      <c r="AM208" s="42" t="s">
        <v>29</v>
      </c>
      <c r="AN208" s="42" t="s">
        <v>29</v>
      </c>
      <c r="AQ208" s="98">
        <v>2</v>
      </c>
      <c r="AR208" s="42">
        <v>2200</v>
      </c>
      <c r="AS208" s="42">
        <v>962</v>
      </c>
      <c r="AT208" s="42" t="s">
        <v>29</v>
      </c>
      <c r="AU208" s="42" t="s">
        <v>29</v>
      </c>
      <c r="AV208" s="42" t="s">
        <v>29</v>
      </c>
      <c r="AY208" s="98">
        <v>2</v>
      </c>
      <c r="AZ208" s="42">
        <v>2550</v>
      </c>
      <c r="BA208" s="42">
        <v>1115</v>
      </c>
      <c r="BB208" s="42" t="s">
        <v>29</v>
      </c>
      <c r="BC208" s="42" t="s">
        <v>29</v>
      </c>
      <c r="BD208" s="42" t="s">
        <v>29</v>
      </c>
    </row>
    <row r="209" spans="1:56" x14ac:dyDescent="0.3">
      <c r="A209" s="110"/>
      <c r="B209" s="110"/>
      <c r="C209" s="68">
        <v>3</v>
      </c>
      <c r="D209" s="42">
        <v>51</v>
      </c>
      <c r="E209" s="42">
        <v>30</v>
      </c>
      <c r="F209" s="42" t="s">
        <v>29</v>
      </c>
      <c r="G209" s="42" t="s">
        <v>29</v>
      </c>
      <c r="H209" s="42" t="s">
        <v>29</v>
      </c>
      <c r="I209" s="4"/>
      <c r="J209" s="4"/>
      <c r="K209" s="68">
        <v>3</v>
      </c>
      <c r="L209" s="42">
        <v>102</v>
      </c>
      <c r="M209" s="42">
        <v>60</v>
      </c>
      <c r="N209" s="42" t="s">
        <v>29</v>
      </c>
      <c r="O209" s="42" t="s">
        <v>29</v>
      </c>
      <c r="P209" s="42" t="s">
        <v>29</v>
      </c>
      <c r="S209" s="98">
        <v>3</v>
      </c>
      <c r="T209" s="42">
        <v>258</v>
      </c>
      <c r="U209" s="42">
        <v>150</v>
      </c>
      <c r="V209" s="42" t="s">
        <v>29</v>
      </c>
      <c r="W209" s="42" t="s">
        <v>29</v>
      </c>
      <c r="X209" s="42" t="s">
        <v>29</v>
      </c>
      <c r="AA209" s="98">
        <v>3</v>
      </c>
      <c r="AB209" s="42">
        <v>780</v>
      </c>
      <c r="AC209" s="42">
        <v>454</v>
      </c>
      <c r="AD209" s="42" t="s">
        <v>29</v>
      </c>
      <c r="AE209" s="42" t="s">
        <v>29</v>
      </c>
      <c r="AF209" s="42" t="s">
        <v>29</v>
      </c>
      <c r="AI209" s="98">
        <v>3</v>
      </c>
      <c r="AJ209" s="42">
        <v>1800</v>
      </c>
      <c r="AK209" s="42">
        <v>1050</v>
      </c>
      <c r="AL209" s="42" t="s">
        <v>29</v>
      </c>
      <c r="AM209" s="42" t="s">
        <v>29</v>
      </c>
      <c r="AN209" s="42" t="s">
        <v>29</v>
      </c>
      <c r="AQ209" s="98">
        <v>3</v>
      </c>
      <c r="AR209" s="42">
        <v>2199</v>
      </c>
      <c r="AS209" s="42">
        <v>1282</v>
      </c>
      <c r="AT209" s="42" t="s">
        <v>29</v>
      </c>
      <c r="AU209" s="42" t="s">
        <v>29</v>
      </c>
      <c r="AV209" s="42" t="s">
        <v>29</v>
      </c>
      <c r="AY209" s="98">
        <v>3</v>
      </c>
      <c r="AZ209" s="42">
        <v>2550</v>
      </c>
      <c r="BA209" s="42">
        <v>1486</v>
      </c>
      <c r="BB209" s="42" t="s">
        <v>29</v>
      </c>
      <c r="BC209" s="42" t="s">
        <v>29</v>
      </c>
      <c r="BD209" s="42" t="s">
        <v>29</v>
      </c>
    </row>
    <row r="210" spans="1:56" x14ac:dyDescent="0.3">
      <c r="A210" s="110"/>
      <c r="B210" s="110"/>
      <c r="C210" s="68">
        <v>4</v>
      </c>
      <c r="D210" s="42">
        <v>52</v>
      </c>
      <c r="E210" s="42">
        <v>33</v>
      </c>
      <c r="F210" s="42">
        <v>18</v>
      </c>
      <c r="G210" s="42" t="s">
        <v>29</v>
      </c>
      <c r="H210" s="42" t="s">
        <v>29</v>
      </c>
      <c r="I210" s="41"/>
      <c r="J210" s="41"/>
      <c r="K210" s="68">
        <v>4</v>
      </c>
      <c r="L210" s="42">
        <v>104</v>
      </c>
      <c r="M210" s="42">
        <v>66</v>
      </c>
      <c r="N210" s="42">
        <v>38</v>
      </c>
      <c r="O210" s="42" t="s">
        <v>29</v>
      </c>
      <c r="P210" s="42" t="s">
        <v>29</v>
      </c>
      <c r="S210" s="98">
        <v>4</v>
      </c>
      <c r="T210" s="42">
        <v>260</v>
      </c>
      <c r="U210" s="42">
        <v>168</v>
      </c>
      <c r="V210" s="42">
        <v>96</v>
      </c>
      <c r="W210" s="42" t="s">
        <v>29</v>
      </c>
      <c r="X210" s="42" t="s">
        <v>29</v>
      </c>
      <c r="AA210" s="98">
        <v>4</v>
      </c>
      <c r="AB210" s="42">
        <v>780</v>
      </c>
      <c r="AC210" s="42">
        <v>510</v>
      </c>
      <c r="AD210" s="42">
        <v>292</v>
      </c>
      <c r="AE210" s="42" t="s">
        <v>29</v>
      </c>
      <c r="AF210" s="42" t="s">
        <v>29</v>
      </c>
      <c r="AI210" s="98">
        <v>4</v>
      </c>
      <c r="AJ210" s="42">
        <v>1800</v>
      </c>
      <c r="AK210" s="42">
        <v>1179</v>
      </c>
      <c r="AL210" s="42">
        <v>674</v>
      </c>
      <c r="AM210" s="42" t="s">
        <v>29</v>
      </c>
      <c r="AN210" s="42" t="s">
        <v>29</v>
      </c>
      <c r="AQ210" s="98">
        <v>4</v>
      </c>
      <c r="AR210" s="42">
        <v>2200</v>
      </c>
      <c r="AS210" s="42">
        <v>1443</v>
      </c>
      <c r="AT210" s="42">
        <v>824</v>
      </c>
      <c r="AU210" s="42" t="s">
        <v>29</v>
      </c>
      <c r="AV210" s="42" t="s">
        <v>29</v>
      </c>
      <c r="AY210" s="98">
        <v>4</v>
      </c>
      <c r="AZ210" s="42">
        <v>2548</v>
      </c>
      <c r="BA210" s="42">
        <v>1671</v>
      </c>
      <c r="BB210" s="42">
        <v>956</v>
      </c>
      <c r="BC210" s="42" t="s">
        <v>29</v>
      </c>
      <c r="BD210" s="42" t="s">
        <v>29</v>
      </c>
    </row>
    <row r="211" spans="1:56" x14ac:dyDescent="0.3">
      <c r="A211" s="110"/>
      <c r="B211" s="110"/>
      <c r="C211" s="68">
        <v>5</v>
      </c>
      <c r="D211" s="42">
        <v>50</v>
      </c>
      <c r="E211" s="42">
        <v>36</v>
      </c>
      <c r="F211" s="42">
        <v>21</v>
      </c>
      <c r="G211" s="42" t="s">
        <v>29</v>
      </c>
      <c r="H211" s="42" t="s">
        <v>29</v>
      </c>
      <c r="I211" s="41"/>
      <c r="J211" s="41"/>
      <c r="K211" s="68">
        <v>5</v>
      </c>
      <c r="L211" s="42">
        <v>100</v>
      </c>
      <c r="M211" s="42">
        <v>72</v>
      </c>
      <c r="N211" s="42">
        <v>45</v>
      </c>
      <c r="O211" s="42" t="s">
        <v>29</v>
      </c>
      <c r="P211" s="42" t="s">
        <v>29</v>
      </c>
      <c r="S211" s="98">
        <v>5</v>
      </c>
      <c r="T211" s="42">
        <v>260</v>
      </c>
      <c r="U211" s="42">
        <v>180</v>
      </c>
      <c r="V211" s="42">
        <v>117</v>
      </c>
      <c r="W211" s="42" t="s">
        <v>29</v>
      </c>
      <c r="X211" s="42" t="s">
        <v>29</v>
      </c>
      <c r="AA211" s="98">
        <v>5</v>
      </c>
      <c r="AB211" s="42">
        <v>780</v>
      </c>
      <c r="AC211" s="42">
        <v>544</v>
      </c>
      <c r="AD211" s="42">
        <v>351</v>
      </c>
      <c r="AE211" s="42" t="s">
        <v>29</v>
      </c>
      <c r="AF211" s="42" t="s">
        <v>29</v>
      </c>
      <c r="AI211" s="98">
        <v>5</v>
      </c>
      <c r="AJ211" s="42">
        <v>1800</v>
      </c>
      <c r="AK211" s="42">
        <v>1260</v>
      </c>
      <c r="AL211" s="42">
        <v>810</v>
      </c>
      <c r="AM211" s="42" t="s">
        <v>29</v>
      </c>
      <c r="AN211" s="42" t="s">
        <v>29</v>
      </c>
      <c r="AQ211" s="98">
        <v>5</v>
      </c>
      <c r="AR211" s="42">
        <v>2200</v>
      </c>
      <c r="AS211" s="42">
        <v>1540</v>
      </c>
      <c r="AT211" s="42">
        <v>990</v>
      </c>
      <c r="AU211" s="42" t="s">
        <v>29</v>
      </c>
      <c r="AV211" s="42" t="s">
        <v>29</v>
      </c>
      <c r="AY211" s="98">
        <v>5</v>
      </c>
      <c r="AZ211" s="42">
        <v>2550</v>
      </c>
      <c r="BA211" s="42">
        <v>1784</v>
      </c>
      <c r="BB211" s="42">
        <v>1146</v>
      </c>
      <c r="BC211" s="42" t="s">
        <v>29</v>
      </c>
      <c r="BD211" s="42" t="s">
        <v>29</v>
      </c>
    </row>
    <row r="212" spans="1:56" x14ac:dyDescent="0.3">
      <c r="A212" s="110"/>
      <c r="B212" s="110"/>
      <c r="C212" s="68">
        <v>6</v>
      </c>
      <c r="D212" s="42">
        <v>48</v>
      </c>
      <c r="E212" s="42">
        <v>35</v>
      </c>
      <c r="F212" s="42">
        <v>24</v>
      </c>
      <c r="G212" s="42">
        <v>15</v>
      </c>
      <c r="H212" s="42" t="s">
        <v>29</v>
      </c>
      <c r="I212" s="41"/>
      <c r="J212" s="41"/>
      <c r="K212" s="68">
        <v>6</v>
      </c>
      <c r="L212" s="42">
        <v>102</v>
      </c>
      <c r="M212" s="42">
        <v>75</v>
      </c>
      <c r="N212" s="42">
        <v>52</v>
      </c>
      <c r="O212" s="42">
        <v>30</v>
      </c>
      <c r="P212" s="42" t="s">
        <v>29</v>
      </c>
      <c r="S212" s="98">
        <v>6</v>
      </c>
      <c r="T212" s="42">
        <v>258</v>
      </c>
      <c r="U212" s="42">
        <v>185</v>
      </c>
      <c r="V212" s="42">
        <v>128</v>
      </c>
      <c r="W212" s="42">
        <v>81</v>
      </c>
      <c r="X212" s="42" t="s">
        <v>29</v>
      </c>
      <c r="AA212" s="98">
        <v>6</v>
      </c>
      <c r="AB212" s="42">
        <v>780</v>
      </c>
      <c r="AC212" s="42">
        <v>565</v>
      </c>
      <c r="AD212" s="42">
        <v>388</v>
      </c>
      <c r="AE212" s="42">
        <v>243</v>
      </c>
      <c r="AF212" s="42" t="s">
        <v>29</v>
      </c>
      <c r="AI212" s="98">
        <v>6</v>
      </c>
      <c r="AJ212" s="42">
        <v>1800</v>
      </c>
      <c r="AK212" s="42">
        <v>1310</v>
      </c>
      <c r="AL212" s="42">
        <v>900</v>
      </c>
      <c r="AM212" s="42">
        <v>561</v>
      </c>
      <c r="AN212" s="42" t="s">
        <v>29</v>
      </c>
      <c r="AQ212" s="98">
        <v>6</v>
      </c>
      <c r="AR212" s="42">
        <v>2196</v>
      </c>
      <c r="AS212" s="42">
        <v>1600</v>
      </c>
      <c r="AT212" s="42">
        <v>1100</v>
      </c>
      <c r="AU212" s="42">
        <v>687</v>
      </c>
      <c r="AV212" s="42" t="s">
        <v>29</v>
      </c>
      <c r="AY212" s="98">
        <v>6</v>
      </c>
      <c r="AZ212" s="42">
        <v>2550</v>
      </c>
      <c r="BA212" s="42">
        <v>1855</v>
      </c>
      <c r="BB212" s="42">
        <v>1272</v>
      </c>
      <c r="BC212" s="42">
        <v>795</v>
      </c>
      <c r="BD212" s="42" t="s">
        <v>29</v>
      </c>
    </row>
    <row r="213" spans="1:56" x14ac:dyDescent="0.3">
      <c r="A213" s="110"/>
      <c r="B213" s="110"/>
      <c r="C213" s="68">
        <v>7</v>
      </c>
      <c r="D213" s="42">
        <v>49</v>
      </c>
      <c r="E213" s="42">
        <v>36</v>
      </c>
      <c r="F213" s="42">
        <v>25</v>
      </c>
      <c r="G213" s="42">
        <v>16</v>
      </c>
      <c r="H213" s="42" t="s">
        <v>29</v>
      </c>
      <c r="I213" s="41"/>
      <c r="J213" s="41"/>
      <c r="K213" s="68">
        <v>7</v>
      </c>
      <c r="L213" s="42">
        <v>98</v>
      </c>
      <c r="M213" s="42">
        <v>78</v>
      </c>
      <c r="N213" s="42">
        <v>55</v>
      </c>
      <c r="O213" s="42">
        <v>36</v>
      </c>
      <c r="P213" s="42" t="s">
        <v>29</v>
      </c>
      <c r="S213" s="98">
        <v>7</v>
      </c>
      <c r="T213" s="42">
        <v>259</v>
      </c>
      <c r="U213" s="42">
        <v>192</v>
      </c>
      <c r="V213" s="42">
        <v>135</v>
      </c>
      <c r="W213" s="42">
        <v>92</v>
      </c>
      <c r="X213" s="42" t="s">
        <v>29</v>
      </c>
      <c r="AA213" s="98">
        <v>7</v>
      </c>
      <c r="AB213" s="42">
        <v>777</v>
      </c>
      <c r="AC213" s="42">
        <v>582</v>
      </c>
      <c r="AD213" s="42">
        <v>415</v>
      </c>
      <c r="AE213" s="42">
        <v>276</v>
      </c>
      <c r="AF213" s="42" t="s">
        <v>29</v>
      </c>
      <c r="AI213" s="98">
        <v>7</v>
      </c>
      <c r="AJ213" s="42">
        <v>1799</v>
      </c>
      <c r="AK213" s="42">
        <v>1350</v>
      </c>
      <c r="AL213" s="42">
        <v>960</v>
      </c>
      <c r="AM213" s="42">
        <v>640</v>
      </c>
      <c r="AN213" s="42" t="s">
        <v>29</v>
      </c>
      <c r="AQ213" s="98">
        <v>7</v>
      </c>
      <c r="AR213" s="42">
        <v>2198</v>
      </c>
      <c r="AS213" s="42">
        <v>1650</v>
      </c>
      <c r="AT213" s="42">
        <v>1175</v>
      </c>
      <c r="AU213" s="42">
        <v>784</v>
      </c>
      <c r="AV213" s="42" t="s">
        <v>29</v>
      </c>
      <c r="AY213" s="98">
        <v>7</v>
      </c>
      <c r="AZ213" s="42">
        <v>2548</v>
      </c>
      <c r="BA213" s="42">
        <v>1908</v>
      </c>
      <c r="BB213" s="42">
        <v>1365</v>
      </c>
      <c r="BC213" s="42">
        <v>908</v>
      </c>
      <c r="BD213" s="42" t="s">
        <v>29</v>
      </c>
    </row>
    <row r="214" spans="1:56" x14ac:dyDescent="0.3">
      <c r="A214" s="110"/>
      <c r="B214" s="110"/>
      <c r="C214" s="68">
        <v>8</v>
      </c>
      <c r="D214" s="42">
        <v>48</v>
      </c>
      <c r="E214" s="42">
        <v>35</v>
      </c>
      <c r="F214" s="42">
        <v>24</v>
      </c>
      <c r="G214" s="42">
        <v>20</v>
      </c>
      <c r="H214" s="42">
        <v>12</v>
      </c>
      <c r="I214" s="41"/>
      <c r="J214" s="41"/>
      <c r="K214" s="68">
        <v>8</v>
      </c>
      <c r="L214" s="42">
        <v>104</v>
      </c>
      <c r="M214" s="42">
        <v>77</v>
      </c>
      <c r="N214" s="42">
        <v>54</v>
      </c>
      <c r="O214" s="42">
        <v>40</v>
      </c>
      <c r="P214" s="42">
        <v>24</v>
      </c>
      <c r="S214" s="98">
        <v>8</v>
      </c>
      <c r="T214" s="42">
        <v>256</v>
      </c>
      <c r="U214" s="42">
        <v>196</v>
      </c>
      <c r="V214" s="42">
        <v>144</v>
      </c>
      <c r="W214" s="42">
        <v>100</v>
      </c>
      <c r="X214" s="42">
        <v>64</v>
      </c>
      <c r="AA214" s="98">
        <v>8</v>
      </c>
      <c r="AB214" s="42">
        <v>776</v>
      </c>
      <c r="AC214" s="42">
        <v>595</v>
      </c>
      <c r="AD214" s="42">
        <v>438</v>
      </c>
      <c r="AE214" s="42">
        <v>300</v>
      </c>
      <c r="AF214" s="42">
        <v>192</v>
      </c>
      <c r="AI214" s="98">
        <v>8</v>
      </c>
      <c r="AJ214" s="42">
        <v>1800</v>
      </c>
      <c r="AK214" s="42">
        <v>1372</v>
      </c>
      <c r="AL214" s="42">
        <v>1008</v>
      </c>
      <c r="AM214" s="42">
        <v>700</v>
      </c>
      <c r="AN214" s="42">
        <v>448</v>
      </c>
      <c r="AQ214" s="98">
        <v>8</v>
      </c>
      <c r="AR214" s="42">
        <v>2200</v>
      </c>
      <c r="AS214" s="42">
        <v>1680</v>
      </c>
      <c r="AT214" s="42">
        <v>1236</v>
      </c>
      <c r="AU214" s="42">
        <v>855</v>
      </c>
      <c r="AV214" s="42">
        <v>548</v>
      </c>
      <c r="AY214" s="98">
        <v>8</v>
      </c>
      <c r="AZ214" s="42">
        <v>2544</v>
      </c>
      <c r="BA214" s="42">
        <v>1946</v>
      </c>
      <c r="BB214" s="42">
        <v>1434</v>
      </c>
      <c r="BC214" s="42">
        <v>995</v>
      </c>
      <c r="BD214" s="42">
        <v>636</v>
      </c>
    </row>
    <row r="215" spans="1:56" x14ac:dyDescent="0.3">
      <c r="A215" s="110"/>
      <c r="B215" s="110"/>
      <c r="C215" s="68">
        <v>9</v>
      </c>
      <c r="D215" s="42">
        <v>45</v>
      </c>
      <c r="E215" s="42">
        <v>40</v>
      </c>
      <c r="F215" s="42">
        <v>28</v>
      </c>
      <c r="G215" s="42">
        <v>18</v>
      </c>
      <c r="H215" s="42">
        <v>10</v>
      </c>
      <c r="I215" s="41"/>
      <c r="J215" s="41"/>
      <c r="K215" s="68">
        <v>9</v>
      </c>
      <c r="L215" s="42">
        <v>99</v>
      </c>
      <c r="M215" s="42">
        <v>80</v>
      </c>
      <c r="N215" s="42">
        <v>56</v>
      </c>
      <c r="O215" s="42">
        <v>42</v>
      </c>
      <c r="P215" s="42">
        <v>25</v>
      </c>
      <c r="S215" s="98">
        <v>9</v>
      </c>
      <c r="T215" s="42">
        <v>252</v>
      </c>
      <c r="U215" s="42">
        <v>200</v>
      </c>
      <c r="V215" s="42">
        <v>147</v>
      </c>
      <c r="W215" s="42">
        <v>108</v>
      </c>
      <c r="X215" s="42">
        <v>70</v>
      </c>
      <c r="AA215" s="98">
        <v>9</v>
      </c>
      <c r="AB215" s="42">
        <v>774</v>
      </c>
      <c r="AC215" s="42">
        <v>600</v>
      </c>
      <c r="AD215" s="42">
        <v>455</v>
      </c>
      <c r="AE215" s="42">
        <v>324</v>
      </c>
      <c r="AF215" s="42">
        <v>215</v>
      </c>
      <c r="AI215" s="98">
        <v>9</v>
      </c>
      <c r="AJ215" s="42">
        <v>1800</v>
      </c>
      <c r="AK215" s="42">
        <v>1400</v>
      </c>
      <c r="AL215" s="42">
        <v>1050</v>
      </c>
      <c r="AM215" s="42">
        <v>750</v>
      </c>
      <c r="AN215" s="42">
        <v>500</v>
      </c>
      <c r="AQ215" s="98">
        <v>9</v>
      </c>
      <c r="AR215" s="42">
        <v>2196</v>
      </c>
      <c r="AS215" s="42">
        <v>1704</v>
      </c>
      <c r="AT215" s="42">
        <v>1281</v>
      </c>
      <c r="AU215" s="42">
        <v>912</v>
      </c>
      <c r="AV215" s="42">
        <v>610</v>
      </c>
      <c r="AY215" s="98">
        <v>9</v>
      </c>
      <c r="AZ215" s="42">
        <v>2547</v>
      </c>
      <c r="BA215" s="42">
        <v>1976</v>
      </c>
      <c r="BB215" s="42">
        <v>1484</v>
      </c>
      <c r="BC215" s="42">
        <v>1062</v>
      </c>
      <c r="BD215" s="42">
        <v>705</v>
      </c>
    </row>
    <row r="217" spans="1:56" ht="15" x14ac:dyDescent="0.25">
      <c r="D217" s="109" t="s">
        <v>31</v>
      </c>
      <c r="E217" s="109"/>
      <c r="F217" s="109"/>
      <c r="G217" s="109"/>
      <c r="H217" s="109"/>
      <c r="L217" s="109" t="s">
        <v>30</v>
      </c>
      <c r="M217" s="109"/>
      <c r="N217" s="109"/>
      <c r="O217" s="109"/>
      <c r="P217" s="109"/>
      <c r="T217" s="109" t="s">
        <v>32</v>
      </c>
      <c r="U217" s="109"/>
      <c r="V217" s="109"/>
      <c r="W217" s="109"/>
      <c r="X217" s="109"/>
      <c r="AB217" s="109" t="s">
        <v>33</v>
      </c>
      <c r="AC217" s="109"/>
      <c r="AD217" s="109"/>
      <c r="AE217" s="109"/>
      <c r="AF217" s="109"/>
      <c r="AJ217" s="109" t="s">
        <v>34</v>
      </c>
      <c r="AK217" s="109"/>
      <c r="AL217" s="109"/>
      <c r="AM217" s="109"/>
      <c r="AN217" s="109"/>
      <c r="AR217" s="109" t="s">
        <v>35</v>
      </c>
      <c r="AS217" s="109"/>
      <c r="AT217" s="109"/>
      <c r="AU217" s="109"/>
      <c r="AV217" s="109"/>
      <c r="AZ217" s="109" t="s">
        <v>36</v>
      </c>
      <c r="BA217" s="109"/>
      <c r="BB217" s="109"/>
      <c r="BC217" s="109"/>
      <c r="BD217" s="109"/>
    </row>
    <row r="218" spans="1:56" ht="15" x14ac:dyDescent="0.25">
      <c r="C218" s="47"/>
      <c r="D218" s="98">
        <v>0</v>
      </c>
      <c r="E218" s="98">
        <v>1</v>
      </c>
      <c r="F218" s="98">
        <v>2</v>
      </c>
      <c r="G218" s="98">
        <v>3</v>
      </c>
      <c r="H218" s="98">
        <v>4</v>
      </c>
      <c r="K218" s="47"/>
      <c r="L218" s="98">
        <v>0</v>
      </c>
      <c r="M218" s="98">
        <v>1</v>
      </c>
      <c r="N218" s="98">
        <v>2</v>
      </c>
      <c r="O218" s="98">
        <v>3</v>
      </c>
      <c r="P218" s="98">
        <v>4</v>
      </c>
      <c r="S218" s="47"/>
      <c r="T218" s="98">
        <v>0</v>
      </c>
      <c r="U218" s="98">
        <v>1</v>
      </c>
      <c r="V218" s="98">
        <v>2</v>
      </c>
      <c r="W218" s="98">
        <v>3</v>
      </c>
      <c r="X218" s="98">
        <v>4</v>
      </c>
      <c r="AA218" s="47"/>
      <c r="AB218" s="98">
        <v>0</v>
      </c>
      <c r="AC218" s="98">
        <v>1</v>
      </c>
      <c r="AD218" s="98">
        <v>2</v>
      </c>
      <c r="AE218" s="98">
        <v>3</v>
      </c>
      <c r="AF218" s="98">
        <v>4</v>
      </c>
      <c r="AI218" s="47"/>
      <c r="AJ218" s="98">
        <v>0</v>
      </c>
      <c r="AK218" s="98">
        <v>1</v>
      </c>
      <c r="AL218" s="98">
        <v>2</v>
      </c>
      <c r="AM218" s="98">
        <v>3</v>
      </c>
      <c r="AN218" s="98">
        <v>4</v>
      </c>
      <c r="AQ218" s="47"/>
      <c r="AR218" s="98">
        <v>0</v>
      </c>
      <c r="AS218" s="98">
        <v>1</v>
      </c>
      <c r="AT218" s="98">
        <v>2</v>
      </c>
      <c r="AU218" s="98">
        <v>3</v>
      </c>
      <c r="AV218" s="98">
        <v>4</v>
      </c>
      <c r="AY218" s="47"/>
      <c r="AZ218" s="98">
        <v>0</v>
      </c>
      <c r="BA218" s="98">
        <v>1</v>
      </c>
      <c r="BB218" s="98">
        <v>2</v>
      </c>
      <c r="BC218" s="98">
        <v>3</v>
      </c>
      <c r="BD218" s="98">
        <v>4</v>
      </c>
    </row>
    <row r="219" spans="1:56" x14ac:dyDescent="0.3">
      <c r="A219" s="110">
        <v>19</v>
      </c>
      <c r="B219" s="110"/>
      <c r="C219" s="98">
        <v>1</v>
      </c>
      <c r="D219" s="42">
        <v>52</v>
      </c>
      <c r="E219" s="42" t="s">
        <v>29</v>
      </c>
      <c r="F219" s="42" t="s">
        <v>29</v>
      </c>
      <c r="G219" s="42" t="s">
        <v>29</v>
      </c>
      <c r="H219" s="42" t="s">
        <v>29</v>
      </c>
      <c r="K219" s="98">
        <v>1</v>
      </c>
      <c r="L219" s="42">
        <v>104</v>
      </c>
      <c r="M219" s="42" t="s">
        <v>29</v>
      </c>
      <c r="N219" s="42" t="s">
        <v>29</v>
      </c>
      <c r="O219" s="42" t="s">
        <v>29</v>
      </c>
      <c r="P219" s="42" t="s">
        <v>29</v>
      </c>
      <c r="S219" s="98">
        <v>1</v>
      </c>
      <c r="T219" s="42">
        <v>260</v>
      </c>
      <c r="U219" s="42" t="s">
        <v>29</v>
      </c>
      <c r="V219" s="42" t="s">
        <v>29</v>
      </c>
      <c r="W219" s="42" t="s">
        <v>29</v>
      </c>
      <c r="X219" s="42" t="s">
        <v>29</v>
      </c>
      <c r="AA219" s="98">
        <v>1</v>
      </c>
      <c r="AB219" s="42">
        <v>780</v>
      </c>
      <c r="AC219" s="42" t="s">
        <v>29</v>
      </c>
      <c r="AD219" s="42" t="s">
        <v>29</v>
      </c>
      <c r="AE219" s="42" t="s">
        <v>29</v>
      </c>
      <c r="AF219" s="42" t="s">
        <v>29</v>
      </c>
      <c r="AI219" s="98">
        <v>1</v>
      </c>
      <c r="AJ219" s="42">
        <v>1800</v>
      </c>
      <c r="AK219" s="42" t="s">
        <v>29</v>
      </c>
      <c r="AL219" s="42" t="s">
        <v>29</v>
      </c>
      <c r="AM219" s="42" t="s">
        <v>29</v>
      </c>
      <c r="AN219" s="42" t="s">
        <v>29</v>
      </c>
      <c r="AQ219" s="98">
        <v>1</v>
      </c>
      <c r="AR219" s="42">
        <v>2200</v>
      </c>
      <c r="AS219" s="42" t="s">
        <v>29</v>
      </c>
      <c r="AT219" s="42" t="s">
        <v>29</v>
      </c>
      <c r="AU219" s="42" t="s">
        <v>29</v>
      </c>
      <c r="AV219" s="42" t="s">
        <v>29</v>
      </c>
      <c r="AY219" s="98">
        <v>1</v>
      </c>
      <c r="AZ219" s="42">
        <v>2550</v>
      </c>
      <c r="BA219" s="42" t="s">
        <v>29</v>
      </c>
      <c r="BB219" s="42" t="s">
        <v>29</v>
      </c>
      <c r="BC219" s="42" t="s">
        <v>29</v>
      </c>
      <c r="BD219" s="42" t="s">
        <v>29</v>
      </c>
    </row>
    <row r="220" spans="1:56" x14ac:dyDescent="0.3">
      <c r="A220" s="110"/>
      <c r="B220" s="110"/>
      <c r="C220" s="98">
        <v>2</v>
      </c>
      <c r="D220" s="42">
        <v>52</v>
      </c>
      <c r="E220" s="42">
        <v>22</v>
      </c>
      <c r="F220" s="42" t="s">
        <v>29</v>
      </c>
      <c r="G220" s="42" t="s">
        <v>29</v>
      </c>
      <c r="H220" s="42" t="s">
        <v>29</v>
      </c>
      <c r="I220" s="4"/>
      <c r="J220" s="4"/>
      <c r="K220" s="98">
        <v>2</v>
      </c>
      <c r="L220" s="42">
        <v>104</v>
      </c>
      <c r="M220" s="42">
        <v>45</v>
      </c>
      <c r="N220" s="42" t="s">
        <v>29</v>
      </c>
      <c r="O220" s="42" t="s">
        <v>29</v>
      </c>
      <c r="P220" s="42" t="s">
        <v>29</v>
      </c>
      <c r="S220" s="98">
        <v>2</v>
      </c>
      <c r="T220" s="42">
        <v>260</v>
      </c>
      <c r="U220" s="42">
        <v>113</v>
      </c>
      <c r="V220" s="42" t="s">
        <v>29</v>
      </c>
      <c r="W220" s="42" t="s">
        <v>29</v>
      </c>
      <c r="X220" s="42" t="s">
        <v>29</v>
      </c>
      <c r="AA220" s="98">
        <v>2</v>
      </c>
      <c r="AB220" s="42">
        <v>780</v>
      </c>
      <c r="AC220" s="42">
        <v>341</v>
      </c>
      <c r="AD220" s="42" t="s">
        <v>29</v>
      </c>
      <c r="AE220" s="42" t="s">
        <v>29</v>
      </c>
      <c r="AF220" s="42" t="s">
        <v>29</v>
      </c>
      <c r="AI220" s="98">
        <v>2</v>
      </c>
      <c r="AJ220" s="42">
        <v>1800</v>
      </c>
      <c r="AK220" s="42">
        <v>787</v>
      </c>
      <c r="AL220" s="42" t="s">
        <v>29</v>
      </c>
      <c r="AM220" s="42" t="s">
        <v>29</v>
      </c>
      <c r="AN220" s="42" t="s">
        <v>29</v>
      </c>
      <c r="AQ220" s="98">
        <v>2</v>
      </c>
      <c r="AR220" s="42">
        <v>2200</v>
      </c>
      <c r="AS220" s="42">
        <v>962</v>
      </c>
      <c r="AT220" s="42" t="s">
        <v>29</v>
      </c>
      <c r="AU220" s="42" t="s">
        <v>29</v>
      </c>
      <c r="AV220" s="42" t="s">
        <v>29</v>
      </c>
      <c r="AY220" s="98">
        <v>2</v>
      </c>
      <c r="AZ220" s="42">
        <v>2550</v>
      </c>
      <c r="BA220" s="42">
        <v>1115</v>
      </c>
      <c r="BB220" s="42" t="s">
        <v>29</v>
      </c>
      <c r="BC220" s="42" t="s">
        <v>29</v>
      </c>
      <c r="BD220" s="42" t="s">
        <v>29</v>
      </c>
    </row>
    <row r="221" spans="1:56" x14ac:dyDescent="0.3">
      <c r="A221" s="110"/>
      <c r="B221" s="110"/>
      <c r="C221" s="98">
        <v>3</v>
      </c>
      <c r="D221" s="42">
        <v>51</v>
      </c>
      <c r="E221" s="42">
        <v>30</v>
      </c>
      <c r="F221" s="42" t="s">
        <v>29</v>
      </c>
      <c r="G221" s="42" t="s">
        <v>29</v>
      </c>
      <c r="H221" s="42" t="s">
        <v>29</v>
      </c>
      <c r="I221" s="4"/>
      <c r="J221" s="4"/>
      <c r="K221" s="98">
        <v>3</v>
      </c>
      <c r="L221" s="42">
        <v>102</v>
      </c>
      <c r="M221" s="42">
        <v>60</v>
      </c>
      <c r="N221" s="42" t="s">
        <v>29</v>
      </c>
      <c r="O221" s="42" t="s">
        <v>29</v>
      </c>
      <c r="P221" s="42" t="s">
        <v>29</v>
      </c>
      <c r="S221" s="98">
        <v>3</v>
      </c>
      <c r="T221" s="42">
        <v>258</v>
      </c>
      <c r="U221" s="42">
        <v>150</v>
      </c>
      <c r="V221" s="42" t="s">
        <v>29</v>
      </c>
      <c r="W221" s="42" t="s">
        <v>29</v>
      </c>
      <c r="X221" s="42" t="s">
        <v>29</v>
      </c>
      <c r="AA221" s="98">
        <v>3</v>
      </c>
      <c r="AB221" s="42">
        <v>780</v>
      </c>
      <c r="AC221" s="42">
        <v>454</v>
      </c>
      <c r="AD221" s="42" t="s">
        <v>29</v>
      </c>
      <c r="AE221" s="42" t="s">
        <v>29</v>
      </c>
      <c r="AF221" s="42" t="s">
        <v>29</v>
      </c>
      <c r="AI221" s="98">
        <v>3</v>
      </c>
      <c r="AJ221" s="42">
        <v>1800</v>
      </c>
      <c r="AK221" s="42">
        <v>1050</v>
      </c>
      <c r="AL221" s="42" t="s">
        <v>29</v>
      </c>
      <c r="AM221" s="42" t="s">
        <v>29</v>
      </c>
      <c r="AN221" s="42" t="s">
        <v>29</v>
      </c>
      <c r="AQ221" s="98">
        <v>3</v>
      </c>
      <c r="AR221" s="42">
        <v>2199</v>
      </c>
      <c r="AS221" s="42">
        <v>1282</v>
      </c>
      <c r="AT221" s="42" t="s">
        <v>29</v>
      </c>
      <c r="AU221" s="42" t="s">
        <v>29</v>
      </c>
      <c r="AV221" s="42" t="s">
        <v>29</v>
      </c>
      <c r="AY221" s="98">
        <v>3</v>
      </c>
      <c r="AZ221" s="42">
        <v>2550</v>
      </c>
      <c r="BA221" s="42">
        <v>1486</v>
      </c>
      <c r="BB221" s="42" t="s">
        <v>29</v>
      </c>
      <c r="BC221" s="42" t="s">
        <v>29</v>
      </c>
      <c r="BD221" s="42" t="s">
        <v>29</v>
      </c>
    </row>
    <row r="222" spans="1:56" x14ac:dyDescent="0.3">
      <c r="A222" s="110"/>
      <c r="B222" s="110"/>
      <c r="C222" s="98">
        <v>4</v>
      </c>
      <c r="D222" s="42">
        <v>52</v>
      </c>
      <c r="E222" s="42">
        <v>33</v>
      </c>
      <c r="F222" s="42">
        <v>18</v>
      </c>
      <c r="G222" s="42" t="s">
        <v>29</v>
      </c>
      <c r="H222" s="42" t="s">
        <v>29</v>
      </c>
      <c r="I222" s="41"/>
      <c r="J222" s="41"/>
      <c r="K222" s="98">
        <v>4</v>
      </c>
      <c r="L222" s="42">
        <v>104</v>
      </c>
      <c r="M222" s="42">
        <v>66</v>
      </c>
      <c r="N222" s="42">
        <v>38</v>
      </c>
      <c r="O222" s="42" t="s">
        <v>29</v>
      </c>
      <c r="P222" s="42" t="s">
        <v>29</v>
      </c>
      <c r="S222" s="98">
        <v>4</v>
      </c>
      <c r="T222" s="42">
        <v>260</v>
      </c>
      <c r="U222" s="42">
        <v>168</v>
      </c>
      <c r="V222" s="42">
        <v>96</v>
      </c>
      <c r="W222" s="42" t="s">
        <v>29</v>
      </c>
      <c r="X222" s="42" t="s">
        <v>29</v>
      </c>
      <c r="AA222" s="98">
        <v>4</v>
      </c>
      <c r="AB222" s="42">
        <v>780</v>
      </c>
      <c r="AC222" s="42">
        <v>510</v>
      </c>
      <c r="AD222" s="42">
        <v>292</v>
      </c>
      <c r="AE222" s="42" t="s">
        <v>29</v>
      </c>
      <c r="AF222" s="42" t="s">
        <v>29</v>
      </c>
      <c r="AI222" s="98">
        <v>4</v>
      </c>
      <c r="AJ222" s="42">
        <v>1800</v>
      </c>
      <c r="AK222" s="42">
        <v>1179</v>
      </c>
      <c r="AL222" s="42">
        <v>674</v>
      </c>
      <c r="AM222" s="42" t="s">
        <v>29</v>
      </c>
      <c r="AN222" s="42" t="s">
        <v>29</v>
      </c>
      <c r="AQ222" s="98">
        <v>4</v>
      </c>
      <c r="AR222" s="42">
        <v>2200</v>
      </c>
      <c r="AS222" s="42">
        <v>1443</v>
      </c>
      <c r="AT222" s="42">
        <v>824</v>
      </c>
      <c r="AU222" s="42" t="s">
        <v>29</v>
      </c>
      <c r="AV222" s="42" t="s">
        <v>29</v>
      </c>
      <c r="AY222" s="98">
        <v>4</v>
      </c>
      <c r="AZ222" s="42">
        <v>2548</v>
      </c>
      <c r="BA222" s="42">
        <v>1671</v>
      </c>
      <c r="BB222" s="42">
        <v>956</v>
      </c>
      <c r="BC222" s="42" t="s">
        <v>29</v>
      </c>
      <c r="BD222" s="42" t="s">
        <v>29</v>
      </c>
    </row>
    <row r="223" spans="1:56" x14ac:dyDescent="0.3">
      <c r="A223" s="110"/>
      <c r="B223" s="110"/>
      <c r="C223" s="98">
        <v>5</v>
      </c>
      <c r="D223" s="42">
        <v>50</v>
      </c>
      <c r="E223" s="42">
        <v>36</v>
      </c>
      <c r="F223" s="42">
        <v>21</v>
      </c>
      <c r="G223" s="42" t="s">
        <v>29</v>
      </c>
      <c r="H223" s="42" t="s">
        <v>29</v>
      </c>
      <c r="I223" s="41"/>
      <c r="J223" s="41"/>
      <c r="K223" s="98">
        <v>5</v>
      </c>
      <c r="L223" s="42">
        <v>100</v>
      </c>
      <c r="M223" s="42">
        <v>72</v>
      </c>
      <c r="N223" s="42">
        <v>45</v>
      </c>
      <c r="O223" s="42" t="s">
        <v>29</v>
      </c>
      <c r="P223" s="42" t="s">
        <v>29</v>
      </c>
      <c r="S223" s="98">
        <v>5</v>
      </c>
      <c r="T223" s="42">
        <v>260</v>
      </c>
      <c r="U223" s="42">
        <v>180</v>
      </c>
      <c r="V223" s="42">
        <v>117</v>
      </c>
      <c r="W223" s="42" t="s">
        <v>29</v>
      </c>
      <c r="X223" s="42" t="s">
        <v>29</v>
      </c>
      <c r="AA223" s="98">
        <v>5</v>
      </c>
      <c r="AB223" s="42">
        <v>780</v>
      </c>
      <c r="AC223" s="42">
        <v>544</v>
      </c>
      <c r="AD223" s="42">
        <v>351</v>
      </c>
      <c r="AE223" s="42" t="s">
        <v>29</v>
      </c>
      <c r="AF223" s="42" t="s">
        <v>29</v>
      </c>
      <c r="AI223" s="98">
        <v>5</v>
      </c>
      <c r="AJ223" s="42">
        <v>1800</v>
      </c>
      <c r="AK223" s="42">
        <v>1260</v>
      </c>
      <c r="AL223" s="42">
        <v>810</v>
      </c>
      <c r="AM223" s="42" t="s">
        <v>29</v>
      </c>
      <c r="AN223" s="42" t="s">
        <v>29</v>
      </c>
      <c r="AQ223" s="98">
        <v>5</v>
      </c>
      <c r="AR223" s="42">
        <v>2200</v>
      </c>
      <c r="AS223" s="42">
        <v>1540</v>
      </c>
      <c r="AT223" s="42">
        <v>990</v>
      </c>
      <c r="AU223" s="42" t="s">
        <v>29</v>
      </c>
      <c r="AV223" s="42" t="s">
        <v>29</v>
      </c>
      <c r="AY223" s="98">
        <v>5</v>
      </c>
      <c r="AZ223" s="42">
        <v>2550</v>
      </c>
      <c r="BA223" s="42">
        <v>1784</v>
      </c>
      <c r="BB223" s="42">
        <v>1146</v>
      </c>
      <c r="BC223" s="42" t="s">
        <v>29</v>
      </c>
      <c r="BD223" s="42" t="s">
        <v>29</v>
      </c>
    </row>
    <row r="224" spans="1:56" x14ac:dyDescent="0.3">
      <c r="A224" s="110"/>
      <c r="B224" s="110"/>
      <c r="C224" s="98">
        <v>6</v>
      </c>
      <c r="D224" s="42">
        <v>48</v>
      </c>
      <c r="E224" s="42">
        <v>35</v>
      </c>
      <c r="F224" s="42">
        <v>24</v>
      </c>
      <c r="G224" s="42">
        <v>15</v>
      </c>
      <c r="H224" s="42" t="s">
        <v>29</v>
      </c>
      <c r="I224" s="41"/>
      <c r="J224" s="41"/>
      <c r="K224" s="98">
        <v>6</v>
      </c>
      <c r="L224" s="42">
        <v>102</v>
      </c>
      <c r="M224" s="42">
        <v>75</v>
      </c>
      <c r="N224" s="42">
        <v>52</v>
      </c>
      <c r="O224" s="42">
        <v>30</v>
      </c>
      <c r="P224" s="42" t="s">
        <v>29</v>
      </c>
      <c r="S224" s="98">
        <v>6</v>
      </c>
      <c r="T224" s="42">
        <v>258</v>
      </c>
      <c r="U224" s="42">
        <v>185</v>
      </c>
      <c r="V224" s="42">
        <v>128</v>
      </c>
      <c r="W224" s="42">
        <v>81</v>
      </c>
      <c r="X224" s="42" t="s">
        <v>29</v>
      </c>
      <c r="AA224" s="98">
        <v>6</v>
      </c>
      <c r="AB224" s="42">
        <v>780</v>
      </c>
      <c r="AC224" s="42">
        <v>565</v>
      </c>
      <c r="AD224" s="42">
        <v>388</v>
      </c>
      <c r="AE224" s="42">
        <v>243</v>
      </c>
      <c r="AF224" s="42" t="s">
        <v>29</v>
      </c>
      <c r="AI224" s="98">
        <v>6</v>
      </c>
      <c r="AJ224" s="42">
        <v>1800</v>
      </c>
      <c r="AK224" s="42">
        <v>1310</v>
      </c>
      <c r="AL224" s="42">
        <v>900</v>
      </c>
      <c r="AM224" s="42">
        <v>561</v>
      </c>
      <c r="AN224" s="42" t="s">
        <v>29</v>
      </c>
      <c r="AQ224" s="98">
        <v>6</v>
      </c>
      <c r="AR224" s="42">
        <v>2196</v>
      </c>
      <c r="AS224" s="42">
        <v>1600</v>
      </c>
      <c r="AT224" s="42">
        <v>1100</v>
      </c>
      <c r="AU224" s="42">
        <v>687</v>
      </c>
      <c r="AV224" s="42" t="s">
        <v>29</v>
      </c>
      <c r="AY224" s="98">
        <v>6</v>
      </c>
      <c r="AZ224" s="42">
        <v>2550</v>
      </c>
      <c r="BA224" s="42">
        <v>1855</v>
      </c>
      <c r="BB224" s="42">
        <v>1272</v>
      </c>
      <c r="BC224" s="42">
        <v>795</v>
      </c>
      <c r="BD224" s="42" t="s">
        <v>29</v>
      </c>
    </row>
    <row r="225" spans="1:56" x14ac:dyDescent="0.3">
      <c r="A225" s="110"/>
      <c r="B225" s="110"/>
      <c r="C225" s="98">
        <v>7</v>
      </c>
      <c r="D225" s="42">
        <v>49</v>
      </c>
      <c r="E225" s="42">
        <v>36</v>
      </c>
      <c r="F225" s="42">
        <v>25</v>
      </c>
      <c r="G225" s="42">
        <v>16</v>
      </c>
      <c r="H225" s="42" t="s">
        <v>29</v>
      </c>
      <c r="I225" s="41"/>
      <c r="J225" s="41"/>
      <c r="K225" s="98">
        <v>7</v>
      </c>
      <c r="L225" s="42">
        <v>98</v>
      </c>
      <c r="M225" s="42">
        <v>78</v>
      </c>
      <c r="N225" s="42">
        <v>55</v>
      </c>
      <c r="O225" s="42">
        <v>36</v>
      </c>
      <c r="P225" s="42" t="s">
        <v>29</v>
      </c>
      <c r="S225" s="98">
        <v>7</v>
      </c>
      <c r="T225" s="42">
        <v>259</v>
      </c>
      <c r="U225" s="42">
        <v>192</v>
      </c>
      <c r="V225" s="42">
        <v>135</v>
      </c>
      <c r="W225" s="42">
        <v>92</v>
      </c>
      <c r="X225" s="42" t="s">
        <v>29</v>
      </c>
      <c r="AA225" s="98">
        <v>7</v>
      </c>
      <c r="AB225" s="42">
        <v>777</v>
      </c>
      <c r="AC225" s="42">
        <v>582</v>
      </c>
      <c r="AD225" s="42">
        <v>415</v>
      </c>
      <c r="AE225" s="42">
        <v>276</v>
      </c>
      <c r="AF225" s="42" t="s">
        <v>29</v>
      </c>
      <c r="AI225" s="98">
        <v>7</v>
      </c>
      <c r="AJ225" s="42">
        <v>1799</v>
      </c>
      <c r="AK225" s="42">
        <v>1350</v>
      </c>
      <c r="AL225" s="42">
        <v>960</v>
      </c>
      <c r="AM225" s="42">
        <v>640</v>
      </c>
      <c r="AN225" s="42" t="s">
        <v>29</v>
      </c>
      <c r="AQ225" s="98">
        <v>7</v>
      </c>
      <c r="AR225" s="42">
        <v>2198</v>
      </c>
      <c r="AS225" s="42">
        <v>1650</v>
      </c>
      <c r="AT225" s="42">
        <v>1175</v>
      </c>
      <c r="AU225" s="42">
        <v>784</v>
      </c>
      <c r="AV225" s="42" t="s">
        <v>29</v>
      </c>
      <c r="AY225" s="98">
        <v>7</v>
      </c>
      <c r="AZ225" s="42">
        <v>2548</v>
      </c>
      <c r="BA225" s="42">
        <v>1908</v>
      </c>
      <c r="BB225" s="42">
        <v>1365</v>
      </c>
      <c r="BC225" s="42">
        <v>908</v>
      </c>
      <c r="BD225" s="42" t="s">
        <v>29</v>
      </c>
    </row>
    <row r="226" spans="1:56" x14ac:dyDescent="0.3">
      <c r="A226" s="110"/>
      <c r="B226" s="110"/>
      <c r="C226" s="98">
        <v>8</v>
      </c>
      <c r="D226" s="42">
        <v>48</v>
      </c>
      <c r="E226" s="42">
        <v>35</v>
      </c>
      <c r="F226" s="42">
        <v>24</v>
      </c>
      <c r="G226" s="42">
        <v>20</v>
      </c>
      <c r="H226" s="42">
        <v>12</v>
      </c>
      <c r="I226" s="41"/>
      <c r="J226" s="41"/>
      <c r="K226" s="98">
        <v>8</v>
      </c>
      <c r="L226" s="42">
        <v>104</v>
      </c>
      <c r="M226" s="42">
        <v>77</v>
      </c>
      <c r="N226" s="42">
        <v>54</v>
      </c>
      <c r="O226" s="42">
        <v>40</v>
      </c>
      <c r="P226" s="42">
        <v>24</v>
      </c>
      <c r="S226" s="98">
        <v>8</v>
      </c>
      <c r="T226" s="42">
        <v>256</v>
      </c>
      <c r="U226" s="42">
        <v>196</v>
      </c>
      <c r="V226" s="42">
        <v>144</v>
      </c>
      <c r="W226" s="42">
        <v>100</v>
      </c>
      <c r="X226" s="42">
        <v>64</v>
      </c>
      <c r="AA226" s="98">
        <v>8</v>
      </c>
      <c r="AB226" s="42">
        <v>776</v>
      </c>
      <c r="AC226" s="42">
        <v>595</v>
      </c>
      <c r="AD226" s="42">
        <v>438</v>
      </c>
      <c r="AE226" s="42">
        <v>300</v>
      </c>
      <c r="AF226" s="42">
        <v>192</v>
      </c>
      <c r="AI226" s="98">
        <v>8</v>
      </c>
      <c r="AJ226" s="42">
        <v>1800</v>
      </c>
      <c r="AK226" s="42">
        <v>1372</v>
      </c>
      <c r="AL226" s="42">
        <v>1008</v>
      </c>
      <c r="AM226" s="42">
        <v>700</v>
      </c>
      <c r="AN226" s="42">
        <v>448</v>
      </c>
      <c r="AQ226" s="98">
        <v>8</v>
      </c>
      <c r="AR226" s="42">
        <v>2200</v>
      </c>
      <c r="AS226" s="42">
        <v>1680</v>
      </c>
      <c r="AT226" s="42">
        <v>1236</v>
      </c>
      <c r="AU226" s="42">
        <v>855</v>
      </c>
      <c r="AV226" s="42">
        <v>548</v>
      </c>
      <c r="AY226" s="98">
        <v>8</v>
      </c>
      <c r="AZ226" s="42">
        <v>2544</v>
      </c>
      <c r="BA226" s="42">
        <v>1946</v>
      </c>
      <c r="BB226" s="42">
        <v>1434</v>
      </c>
      <c r="BC226" s="42">
        <v>995</v>
      </c>
      <c r="BD226" s="42">
        <v>636</v>
      </c>
    </row>
    <row r="227" spans="1:56" x14ac:dyDescent="0.3">
      <c r="A227" s="110"/>
      <c r="B227" s="110"/>
      <c r="C227" s="98">
        <v>9</v>
      </c>
      <c r="D227" s="42">
        <v>45</v>
      </c>
      <c r="E227" s="42">
        <v>40</v>
      </c>
      <c r="F227" s="42">
        <v>28</v>
      </c>
      <c r="G227" s="42">
        <v>18</v>
      </c>
      <c r="H227" s="42">
        <v>10</v>
      </c>
      <c r="I227" s="41"/>
      <c r="J227" s="41"/>
      <c r="K227" s="98">
        <v>9</v>
      </c>
      <c r="L227" s="42">
        <v>99</v>
      </c>
      <c r="M227" s="42">
        <v>80</v>
      </c>
      <c r="N227" s="42">
        <v>56</v>
      </c>
      <c r="O227" s="42">
        <v>42</v>
      </c>
      <c r="P227" s="42">
        <v>25</v>
      </c>
      <c r="S227" s="98">
        <v>9</v>
      </c>
      <c r="T227" s="42">
        <v>252</v>
      </c>
      <c r="U227" s="42">
        <v>200</v>
      </c>
      <c r="V227" s="42">
        <v>147</v>
      </c>
      <c r="W227" s="42">
        <v>108</v>
      </c>
      <c r="X227" s="42">
        <v>70</v>
      </c>
      <c r="AA227" s="98">
        <v>9</v>
      </c>
      <c r="AB227" s="42">
        <v>774</v>
      </c>
      <c r="AC227" s="42">
        <v>600</v>
      </c>
      <c r="AD227" s="42">
        <v>455</v>
      </c>
      <c r="AE227" s="42">
        <v>324</v>
      </c>
      <c r="AF227" s="42">
        <v>215</v>
      </c>
      <c r="AI227" s="98">
        <v>9</v>
      </c>
      <c r="AJ227" s="42">
        <v>1800</v>
      </c>
      <c r="AK227" s="42">
        <v>1400</v>
      </c>
      <c r="AL227" s="42">
        <v>1050</v>
      </c>
      <c r="AM227" s="42">
        <v>750</v>
      </c>
      <c r="AN227" s="42">
        <v>500</v>
      </c>
      <c r="AQ227" s="98">
        <v>9</v>
      </c>
      <c r="AR227" s="42">
        <v>2196</v>
      </c>
      <c r="AS227" s="42">
        <v>1704</v>
      </c>
      <c r="AT227" s="42">
        <v>1281</v>
      </c>
      <c r="AU227" s="42">
        <v>912</v>
      </c>
      <c r="AV227" s="42">
        <v>610</v>
      </c>
      <c r="AY227" s="98">
        <v>9</v>
      </c>
      <c r="AZ227" s="42">
        <v>2547</v>
      </c>
      <c r="BA227" s="42">
        <v>1976</v>
      </c>
      <c r="BB227" s="42">
        <v>1484</v>
      </c>
      <c r="BC227" s="42">
        <v>1062</v>
      </c>
      <c r="BD227" s="42">
        <v>705</v>
      </c>
    </row>
    <row r="229" spans="1:56" ht="15" x14ac:dyDescent="0.25">
      <c r="D229" s="109" t="s">
        <v>31</v>
      </c>
      <c r="E229" s="109"/>
      <c r="F229" s="109"/>
      <c r="G229" s="109"/>
      <c r="H229" s="109"/>
      <c r="L229" s="109" t="s">
        <v>30</v>
      </c>
      <c r="M229" s="109"/>
      <c r="N229" s="109"/>
      <c r="O229" s="109"/>
      <c r="P229" s="109"/>
      <c r="T229" s="109" t="s">
        <v>32</v>
      </c>
      <c r="U229" s="109"/>
      <c r="V229" s="109"/>
      <c r="W229" s="109"/>
      <c r="X229" s="109"/>
      <c r="AB229" s="109" t="s">
        <v>33</v>
      </c>
      <c r="AC229" s="109"/>
      <c r="AD229" s="109"/>
      <c r="AE229" s="109"/>
      <c r="AF229" s="109"/>
      <c r="AJ229" s="109" t="s">
        <v>34</v>
      </c>
      <c r="AK229" s="109"/>
      <c r="AL229" s="109"/>
      <c r="AM229" s="109"/>
      <c r="AN229" s="109"/>
      <c r="AR229" s="109" t="s">
        <v>35</v>
      </c>
      <c r="AS229" s="109"/>
      <c r="AT229" s="109"/>
      <c r="AU229" s="109"/>
      <c r="AV229" s="109"/>
      <c r="AZ229" s="109" t="s">
        <v>36</v>
      </c>
      <c r="BA229" s="109"/>
      <c r="BB229" s="109"/>
      <c r="BC229" s="109"/>
      <c r="BD229" s="109"/>
    </row>
    <row r="230" spans="1:56" ht="15" x14ac:dyDescent="0.25">
      <c r="C230" s="47"/>
      <c r="D230" s="68">
        <v>0</v>
      </c>
      <c r="E230" s="68">
        <v>1</v>
      </c>
      <c r="F230" s="68">
        <v>2</v>
      </c>
      <c r="G230" s="68">
        <v>3</v>
      </c>
      <c r="H230" s="68">
        <v>4</v>
      </c>
      <c r="K230" s="47"/>
      <c r="L230" s="68">
        <v>0</v>
      </c>
      <c r="M230" s="68">
        <v>1</v>
      </c>
      <c r="N230" s="68">
        <v>2</v>
      </c>
      <c r="O230" s="68">
        <v>3</v>
      </c>
      <c r="P230" s="68">
        <v>4</v>
      </c>
      <c r="S230" s="47"/>
      <c r="T230" s="98">
        <v>0</v>
      </c>
      <c r="U230" s="98">
        <v>1</v>
      </c>
      <c r="V230" s="98">
        <v>2</v>
      </c>
      <c r="W230" s="98">
        <v>3</v>
      </c>
      <c r="X230" s="98">
        <v>4</v>
      </c>
      <c r="AA230" s="47"/>
      <c r="AB230" s="98">
        <v>0</v>
      </c>
      <c r="AC230" s="98">
        <v>1</v>
      </c>
      <c r="AD230" s="98">
        <v>2</v>
      </c>
      <c r="AE230" s="98">
        <v>3</v>
      </c>
      <c r="AF230" s="98">
        <v>4</v>
      </c>
      <c r="AI230" s="47"/>
      <c r="AJ230" s="98">
        <v>0</v>
      </c>
      <c r="AK230" s="98">
        <v>1</v>
      </c>
      <c r="AL230" s="98">
        <v>2</v>
      </c>
      <c r="AM230" s="98">
        <v>3</v>
      </c>
      <c r="AN230" s="98">
        <v>4</v>
      </c>
      <c r="AQ230" s="47"/>
      <c r="AR230" s="98">
        <v>0</v>
      </c>
      <c r="AS230" s="98">
        <v>1</v>
      </c>
      <c r="AT230" s="98">
        <v>2</v>
      </c>
      <c r="AU230" s="98">
        <v>3</v>
      </c>
      <c r="AV230" s="98">
        <v>4</v>
      </c>
      <c r="AY230" s="47"/>
      <c r="AZ230" s="98">
        <v>0</v>
      </c>
      <c r="BA230" s="98">
        <v>1</v>
      </c>
      <c r="BB230" s="98">
        <v>2</v>
      </c>
      <c r="BC230" s="98">
        <v>3</v>
      </c>
      <c r="BD230" s="98">
        <v>4</v>
      </c>
    </row>
    <row r="231" spans="1:56" x14ac:dyDescent="0.3">
      <c r="A231" s="110">
        <v>20</v>
      </c>
      <c r="B231" s="110"/>
      <c r="C231" s="68">
        <v>1</v>
      </c>
      <c r="D231" s="42">
        <v>56</v>
      </c>
      <c r="E231" s="42" t="s">
        <v>29</v>
      </c>
      <c r="F231" s="42" t="s">
        <v>29</v>
      </c>
      <c r="G231" s="42" t="s">
        <v>29</v>
      </c>
      <c r="H231" s="42" t="s">
        <v>29</v>
      </c>
      <c r="K231" s="68">
        <v>1</v>
      </c>
      <c r="L231" s="42">
        <v>112</v>
      </c>
      <c r="M231" s="42" t="s">
        <v>29</v>
      </c>
      <c r="N231" s="42" t="s">
        <v>29</v>
      </c>
      <c r="O231" s="42" t="s">
        <v>29</v>
      </c>
      <c r="P231" s="42" t="s">
        <v>29</v>
      </c>
      <c r="S231" s="98">
        <v>1</v>
      </c>
      <c r="T231" s="42">
        <v>300</v>
      </c>
      <c r="U231" s="42" t="s">
        <v>29</v>
      </c>
      <c r="V231" s="42" t="s">
        <v>29</v>
      </c>
      <c r="W231" s="42" t="s">
        <v>29</v>
      </c>
      <c r="X231" s="42" t="s">
        <v>29</v>
      </c>
      <c r="AA231" s="98">
        <v>1</v>
      </c>
      <c r="AB231" s="42">
        <v>900</v>
      </c>
      <c r="AC231" s="42" t="s">
        <v>29</v>
      </c>
      <c r="AD231" s="42" t="s">
        <v>29</v>
      </c>
      <c r="AE231" s="42" t="s">
        <v>29</v>
      </c>
      <c r="AF231" s="42" t="s">
        <v>29</v>
      </c>
      <c r="AI231" s="98">
        <v>1</v>
      </c>
      <c r="AJ231" s="42">
        <v>2000</v>
      </c>
      <c r="AK231" s="42" t="s">
        <v>29</v>
      </c>
      <c r="AL231" s="42" t="s">
        <v>29</v>
      </c>
      <c r="AM231" s="42" t="s">
        <v>29</v>
      </c>
      <c r="AN231" s="42" t="s">
        <v>29</v>
      </c>
      <c r="AQ231" s="98">
        <v>1</v>
      </c>
      <c r="AR231" s="42">
        <v>2400</v>
      </c>
      <c r="AS231" s="42" t="s">
        <v>29</v>
      </c>
      <c r="AT231" s="42" t="s">
        <v>29</v>
      </c>
      <c r="AU231" s="42" t="s">
        <v>29</v>
      </c>
      <c r="AV231" s="42" t="s">
        <v>29</v>
      </c>
      <c r="AY231" s="98">
        <v>1</v>
      </c>
      <c r="AZ231" s="42">
        <v>2800</v>
      </c>
      <c r="BA231" s="42" t="s">
        <v>29</v>
      </c>
      <c r="BB231" s="42" t="s">
        <v>29</v>
      </c>
      <c r="BC231" s="42" t="s">
        <v>29</v>
      </c>
      <c r="BD231" s="42" t="s">
        <v>29</v>
      </c>
    </row>
    <row r="232" spans="1:56" x14ac:dyDescent="0.3">
      <c r="A232" s="110"/>
      <c r="B232" s="110"/>
      <c r="C232" s="68">
        <v>2</v>
      </c>
      <c r="D232" s="42">
        <v>56</v>
      </c>
      <c r="E232" s="42">
        <v>24</v>
      </c>
      <c r="F232" s="42" t="s">
        <v>29</v>
      </c>
      <c r="G232" s="42" t="s">
        <v>29</v>
      </c>
      <c r="H232" s="42" t="s">
        <v>29</v>
      </c>
      <c r="I232" s="4"/>
      <c r="J232" s="4"/>
      <c r="K232" s="68">
        <v>2</v>
      </c>
      <c r="L232" s="42">
        <v>112</v>
      </c>
      <c r="M232" s="42">
        <v>49</v>
      </c>
      <c r="N232" s="42" t="s">
        <v>29</v>
      </c>
      <c r="O232" s="42" t="s">
        <v>29</v>
      </c>
      <c r="P232" s="42" t="s">
        <v>29</v>
      </c>
      <c r="S232" s="98">
        <v>2</v>
      </c>
      <c r="T232" s="42">
        <v>300</v>
      </c>
      <c r="U232" s="42">
        <v>131</v>
      </c>
      <c r="V232" s="42" t="s">
        <v>29</v>
      </c>
      <c r="W232" s="42" t="s">
        <v>29</v>
      </c>
      <c r="X232" s="42" t="s">
        <v>29</v>
      </c>
      <c r="AA232" s="98">
        <v>2</v>
      </c>
      <c r="AB232" s="42">
        <v>900</v>
      </c>
      <c r="AC232" s="42">
        <v>393</v>
      </c>
      <c r="AD232" s="42" t="s">
        <v>29</v>
      </c>
      <c r="AE232" s="42" t="s">
        <v>29</v>
      </c>
      <c r="AF232" s="42" t="s">
        <v>29</v>
      </c>
      <c r="AI232" s="98">
        <v>2</v>
      </c>
      <c r="AJ232" s="42">
        <v>2000</v>
      </c>
      <c r="AK232" s="42">
        <v>875</v>
      </c>
      <c r="AL232" s="42" t="s">
        <v>29</v>
      </c>
      <c r="AM232" s="42" t="s">
        <v>29</v>
      </c>
      <c r="AN232" s="42" t="s">
        <v>29</v>
      </c>
      <c r="AQ232" s="98">
        <v>2</v>
      </c>
      <c r="AR232" s="42">
        <v>2400</v>
      </c>
      <c r="AS232" s="42">
        <v>1050</v>
      </c>
      <c r="AT232" s="42" t="s">
        <v>29</v>
      </c>
      <c r="AU232" s="42" t="s">
        <v>29</v>
      </c>
      <c r="AV232" s="42" t="s">
        <v>29</v>
      </c>
      <c r="AY232" s="98">
        <v>2</v>
      </c>
      <c r="AZ232" s="42">
        <v>2800</v>
      </c>
      <c r="BA232" s="42">
        <v>1225</v>
      </c>
      <c r="BB232" s="42" t="s">
        <v>29</v>
      </c>
      <c r="BC232" s="42" t="s">
        <v>29</v>
      </c>
      <c r="BD232" s="42" t="s">
        <v>29</v>
      </c>
    </row>
    <row r="233" spans="1:56" x14ac:dyDescent="0.3">
      <c r="A233" s="110"/>
      <c r="B233" s="110"/>
      <c r="C233" s="68">
        <v>3</v>
      </c>
      <c r="D233" s="42">
        <v>54</v>
      </c>
      <c r="E233" s="42">
        <v>32</v>
      </c>
      <c r="F233" s="42" t="s">
        <v>29</v>
      </c>
      <c r="G233" s="42" t="s">
        <v>29</v>
      </c>
      <c r="H233" s="42" t="s">
        <v>29</v>
      </c>
      <c r="I233" s="4"/>
      <c r="J233" s="4"/>
      <c r="K233" s="68">
        <v>3</v>
      </c>
      <c r="L233" s="42">
        <v>111</v>
      </c>
      <c r="M233" s="42">
        <v>64</v>
      </c>
      <c r="N233" s="42" t="s">
        <v>29</v>
      </c>
      <c r="O233" s="42" t="s">
        <v>29</v>
      </c>
      <c r="P233" s="42" t="s">
        <v>29</v>
      </c>
      <c r="S233" s="98">
        <v>3</v>
      </c>
      <c r="T233" s="42">
        <v>300</v>
      </c>
      <c r="U233" s="42">
        <v>174</v>
      </c>
      <c r="V233" s="42" t="s">
        <v>29</v>
      </c>
      <c r="W233" s="42" t="s">
        <v>29</v>
      </c>
      <c r="X233" s="42" t="s">
        <v>29</v>
      </c>
      <c r="AA233" s="98">
        <v>3</v>
      </c>
      <c r="AB233" s="42">
        <v>900</v>
      </c>
      <c r="AC233" s="42">
        <v>524</v>
      </c>
      <c r="AD233" s="42" t="s">
        <v>29</v>
      </c>
      <c r="AE233" s="42" t="s">
        <v>29</v>
      </c>
      <c r="AF233" s="42" t="s">
        <v>29</v>
      </c>
      <c r="AI233" s="98">
        <v>3</v>
      </c>
      <c r="AJ233" s="42">
        <v>1998</v>
      </c>
      <c r="AK233" s="42">
        <v>1166</v>
      </c>
      <c r="AL233" s="42" t="s">
        <v>29</v>
      </c>
      <c r="AM233" s="42" t="s">
        <v>29</v>
      </c>
      <c r="AN233" s="42" t="s">
        <v>29</v>
      </c>
      <c r="AQ233" s="98">
        <v>3</v>
      </c>
      <c r="AR233" s="42">
        <v>2400</v>
      </c>
      <c r="AS233" s="42">
        <v>1400</v>
      </c>
      <c r="AT233" s="42" t="s">
        <v>29</v>
      </c>
      <c r="AU233" s="42" t="s">
        <v>29</v>
      </c>
      <c r="AV233" s="42" t="s">
        <v>29</v>
      </c>
      <c r="AY233" s="98">
        <v>3</v>
      </c>
      <c r="AZ233" s="42">
        <v>2799</v>
      </c>
      <c r="BA233" s="42">
        <v>1632</v>
      </c>
      <c r="BB233" s="42" t="s">
        <v>29</v>
      </c>
      <c r="BC233" s="42" t="s">
        <v>29</v>
      </c>
      <c r="BD233" s="42" t="s">
        <v>29</v>
      </c>
    </row>
    <row r="234" spans="1:56" x14ac:dyDescent="0.3">
      <c r="A234" s="110"/>
      <c r="B234" s="110"/>
      <c r="C234" s="68">
        <v>4</v>
      </c>
      <c r="D234" s="42">
        <v>56</v>
      </c>
      <c r="E234" s="42">
        <v>36</v>
      </c>
      <c r="F234" s="42">
        <v>20</v>
      </c>
      <c r="G234" s="42" t="s">
        <v>29</v>
      </c>
      <c r="H234" s="42" t="s">
        <v>29</v>
      </c>
      <c r="I234" s="41"/>
      <c r="J234" s="41"/>
      <c r="K234" s="68">
        <v>4</v>
      </c>
      <c r="L234" s="42">
        <v>112</v>
      </c>
      <c r="M234" s="42">
        <v>72</v>
      </c>
      <c r="N234" s="42">
        <v>42</v>
      </c>
      <c r="O234" s="42" t="s">
        <v>29</v>
      </c>
      <c r="P234" s="42" t="s">
        <v>29</v>
      </c>
      <c r="S234" s="98">
        <v>4</v>
      </c>
      <c r="T234" s="42">
        <v>300</v>
      </c>
      <c r="U234" s="42">
        <v>195</v>
      </c>
      <c r="V234" s="42">
        <v>112</v>
      </c>
      <c r="W234" s="42" t="s">
        <v>29</v>
      </c>
      <c r="X234" s="42" t="s">
        <v>29</v>
      </c>
      <c r="AA234" s="98">
        <v>4</v>
      </c>
      <c r="AB234" s="42">
        <v>900</v>
      </c>
      <c r="AC234" s="42">
        <v>588</v>
      </c>
      <c r="AD234" s="42">
        <v>336</v>
      </c>
      <c r="AE234" s="42" t="s">
        <v>29</v>
      </c>
      <c r="AF234" s="42" t="s">
        <v>29</v>
      </c>
      <c r="AI234" s="98">
        <v>4</v>
      </c>
      <c r="AJ234" s="42">
        <v>2000</v>
      </c>
      <c r="AK234" s="42">
        <v>1311</v>
      </c>
      <c r="AL234" s="42">
        <v>750</v>
      </c>
      <c r="AM234" s="42" t="s">
        <v>29</v>
      </c>
      <c r="AN234" s="42" t="s">
        <v>29</v>
      </c>
      <c r="AQ234" s="98">
        <v>4</v>
      </c>
      <c r="AR234" s="42">
        <v>2400</v>
      </c>
      <c r="AS234" s="42">
        <v>1575</v>
      </c>
      <c r="AT234" s="42">
        <v>900</v>
      </c>
      <c r="AU234" s="42" t="s">
        <v>29</v>
      </c>
      <c r="AV234" s="42" t="s">
        <v>29</v>
      </c>
      <c r="AY234" s="98">
        <v>4</v>
      </c>
      <c r="AZ234" s="42">
        <v>2800</v>
      </c>
      <c r="BA234" s="42">
        <v>1836</v>
      </c>
      <c r="BB234" s="42">
        <v>1050</v>
      </c>
      <c r="BC234" s="42" t="s">
        <v>29</v>
      </c>
      <c r="BD234" s="42" t="s">
        <v>29</v>
      </c>
    </row>
    <row r="235" spans="1:56" x14ac:dyDescent="0.3">
      <c r="A235" s="110"/>
      <c r="B235" s="110"/>
      <c r="C235" s="68">
        <v>5</v>
      </c>
      <c r="D235" s="42">
        <v>55</v>
      </c>
      <c r="E235" s="42">
        <v>36</v>
      </c>
      <c r="F235" s="42">
        <v>24</v>
      </c>
      <c r="G235" s="42" t="s">
        <v>29</v>
      </c>
      <c r="H235" s="42" t="s">
        <v>29</v>
      </c>
      <c r="I235" s="41"/>
      <c r="J235" s="41"/>
      <c r="K235" s="68">
        <v>5</v>
      </c>
      <c r="L235" s="42">
        <v>110</v>
      </c>
      <c r="M235" s="42">
        <v>76</v>
      </c>
      <c r="N235" s="42">
        <v>48</v>
      </c>
      <c r="O235" s="42" t="s">
        <v>29</v>
      </c>
      <c r="P235" s="42" t="s">
        <v>29</v>
      </c>
      <c r="S235" s="98">
        <v>5</v>
      </c>
      <c r="T235" s="42">
        <v>300</v>
      </c>
      <c r="U235" s="42">
        <v>208</v>
      </c>
      <c r="V235" s="42">
        <v>135</v>
      </c>
      <c r="W235" s="42" t="s">
        <v>29</v>
      </c>
      <c r="X235" s="42" t="s">
        <v>29</v>
      </c>
      <c r="AA235" s="98">
        <v>5</v>
      </c>
      <c r="AB235" s="42">
        <v>900</v>
      </c>
      <c r="AC235" s="42">
        <v>628</v>
      </c>
      <c r="AD235" s="42">
        <v>405</v>
      </c>
      <c r="AE235" s="42" t="s">
        <v>29</v>
      </c>
      <c r="AF235" s="42" t="s">
        <v>29</v>
      </c>
      <c r="AI235" s="98">
        <v>5</v>
      </c>
      <c r="AJ235" s="42">
        <v>2000</v>
      </c>
      <c r="AK235" s="42">
        <v>1400</v>
      </c>
      <c r="AL235" s="42">
        <v>900</v>
      </c>
      <c r="AM235" s="42" t="s">
        <v>29</v>
      </c>
      <c r="AN235" s="42" t="s">
        <v>29</v>
      </c>
      <c r="AQ235" s="98">
        <v>5</v>
      </c>
      <c r="AR235" s="42">
        <v>2400</v>
      </c>
      <c r="AS235" s="42">
        <v>1680</v>
      </c>
      <c r="AT235" s="42">
        <v>1080</v>
      </c>
      <c r="AU235" s="42" t="s">
        <v>29</v>
      </c>
      <c r="AV235" s="42" t="s">
        <v>29</v>
      </c>
      <c r="AY235" s="98">
        <v>5</v>
      </c>
      <c r="AZ235" s="42">
        <v>2800</v>
      </c>
      <c r="BA235" s="42">
        <v>1960</v>
      </c>
      <c r="BB235" s="42">
        <v>1260</v>
      </c>
      <c r="BC235" s="42" t="s">
        <v>29</v>
      </c>
      <c r="BD235" s="42" t="s">
        <v>29</v>
      </c>
    </row>
    <row r="236" spans="1:56" x14ac:dyDescent="0.3">
      <c r="A236" s="110"/>
      <c r="B236" s="110"/>
      <c r="C236" s="68">
        <v>6</v>
      </c>
      <c r="D236" s="42">
        <v>54</v>
      </c>
      <c r="E236" s="42">
        <v>40</v>
      </c>
      <c r="F236" s="42">
        <v>28</v>
      </c>
      <c r="G236" s="42">
        <v>15</v>
      </c>
      <c r="H236" s="42" t="s">
        <v>29</v>
      </c>
      <c r="I236" s="41"/>
      <c r="J236" s="41"/>
      <c r="K236" s="68">
        <v>6</v>
      </c>
      <c r="L236" s="42">
        <v>108</v>
      </c>
      <c r="M236" s="42">
        <v>80</v>
      </c>
      <c r="N236" s="42">
        <v>56</v>
      </c>
      <c r="O236" s="42">
        <v>33</v>
      </c>
      <c r="P236" s="42" t="s">
        <v>29</v>
      </c>
      <c r="S236" s="98">
        <v>6</v>
      </c>
      <c r="T236" s="42">
        <v>300</v>
      </c>
      <c r="U236" s="42">
        <v>215</v>
      </c>
      <c r="V236" s="42">
        <v>148</v>
      </c>
      <c r="W236" s="42">
        <v>93</v>
      </c>
      <c r="X236" s="42" t="s">
        <v>29</v>
      </c>
      <c r="AA236" s="98">
        <v>6</v>
      </c>
      <c r="AB236" s="42">
        <v>900</v>
      </c>
      <c r="AC236" s="42">
        <v>655</v>
      </c>
      <c r="AD236" s="42">
        <v>448</v>
      </c>
      <c r="AE236" s="42">
        <v>279</v>
      </c>
      <c r="AF236" s="42" t="s">
        <v>29</v>
      </c>
      <c r="AI236" s="98">
        <v>6</v>
      </c>
      <c r="AJ236" s="42">
        <v>1998</v>
      </c>
      <c r="AK236" s="42">
        <v>1455</v>
      </c>
      <c r="AL236" s="42">
        <v>1000</v>
      </c>
      <c r="AM236" s="42">
        <v>624</v>
      </c>
      <c r="AN236" s="42" t="s">
        <v>29</v>
      </c>
      <c r="AQ236" s="98">
        <v>6</v>
      </c>
      <c r="AR236" s="42">
        <v>2400</v>
      </c>
      <c r="AS236" s="42">
        <v>1750</v>
      </c>
      <c r="AT236" s="42">
        <v>1200</v>
      </c>
      <c r="AU236" s="42">
        <v>750</v>
      </c>
      <c r="AV236" s="42" t="s">
        <v>29</v>
      </c>
      <c r="AY236" s="98">
        <v>6</v>
      </c>
      <c r="AZ236" s="42">
        <v>2796</v>
      </c>
      <c r="BA236" s="42">
        <v>2040</v>
      </c>
      <c r="BB236" s="42">
        <v>1400</v>
      </c>
      <c r="BC236" s="42">
        <v>873</v>
      </c>
      <c r="BD236" s="42" t="s">
        <v>29</v>
      </c>
    </row>
    <row r="237" spans="1:56" x14ac:dyDescent="0.3">
      <c r="A237" s="110"/>
      <c r="B237" s="110"/>
      <c r="C237" s="68">
        <v>7</v>
      </c>
      <c r="D237" s="42">
        <v>56</v>
      </c>
      <c r="E237" s="42">
        <v>42</v>
      </c>
      <c r="F237" s="42">
        <v>30</v>
      </c>
      <c r="G237" s="42">
        <v>20</v>
      </c>
      <c r="H237" s="42" t="s">
        <v>29</v>
      </c>
      <c r="I237" s="41"/>
      <c r="J237" s="41"/>
      <c r="K237" s="68">
        <v>7</v>
      </c>
      <c r="L237" s="42">
        <v>112</v>
      </c>
      <c r="M237" s="42">
        <v>84</v>
      </c>
      <c r="N237" s="42">
        <v>60</v>
      </c>
      <c r="O237" s="42">
        <v>40</v>
      </c>
      <c r="P237" s="42" t="s">
        <v>29</v>
      </c>
      <c r="S237" s="98">
        <v>7</v>
      </c>
      <c r="T237" s="42">
        <v>294</v>
      </c>
      <c r="U237" s="42">
        <v>222</v>
      </c>
      <c r="V237" s="42">
        <v>160</v>
      </c>
      <c r="W237" s="42">
        <v>104</v>
      </c>
      <c r="X237" s="42" t="s">
        <v>29</v>
      </c>
      <c r="AA237" s="98">
        <v>7</v>
      </c>
      <c r="AB237" s="42">
        <v>896</v>
      </c>
      <c r="AC237" s="42">
        <v>672</v>
      </c>
      <c r="AD237" s="42">
        <v>480</v>
      </c>
      <c r="AE237" s="42">
        <v>320</v>
      </c>
      <c r="AF237" s="42" t="s">
        <v>29</v>
      </c>
      <c r="AI237" s="98">
        <v>7</v>
      </c>
      <c r="AJ237" s="42">
        <v>1995</v>
      </c>
      <c r="AK237" s="42">
        <v>1500</v>
      </c>
      <c r="AL237" s="42">
        <v>1070</v>
      </c>
      <c r="AM237" s="42">
        <v>712</v>
      </c>
      <c r="AN237" s="42" t="s">
        <v>29</v>
      </c>
      <c r="AQ237" s="98">
        <v>7</v>
      </c>
      <c r="AR237" s="42">
        <v>2394</v>
      </c>
      <c r="AS237" s="42">
        <v>1800</v>
      </c>
      <c r="AT237" s="42">
        <v>1285</v>
      </c>
      <c r="AU237" s="42">
        <v>856</v>
      </c>
      <c r="AV237" s="42" t="s">
        <v>29</v>
      </c>
      <c r="AY237" s="98">
        <v>7</v>
      </c>
      <c r="AZ237" s="42">
        <v>2800</v>
      </c>
      <c r="BA237" s="42">
        <v>2100</v>
      </c>
      <c r="BB237" s="42">
        <v>1500</v>
      </c>
      <c r="BC237" s="42">
        <v>1000</v>
      </c>
      <c r="BD237" s="42" t="s">
        <v>29</v>
      </c>
    </row>
    <row r="238" spans="1:56" x14ac:dyDescent="0.3">
      <c r="A238" s="110"/>
      <c r="B238" s="110"/>
      <c r="C238" s="68">
        <v>8</v>
      </c>
      <c r="D238" s="42">
        <v>56</v>
      </c>
      <c r="E238" s="42">
        <v>42</v>
      </c>
      <c r="F238" s="42">
        <v>30</v>
      </c>
      <c r="G238" s="42">
        <v>20</v>
      </c>
      <c r="H238" s="42">
        <v>12</v>
      </c>
      <c r="I238" s="41"/>
      <c r="J238" s="41"/>
      <c r="K238" s="68">
        <v>8</v>
      </c>
      <c r="L238" s="42">
        <v>112</v>
      </c>
      <c r="M238" s="42">
        <v>84</v>
      </c>
      <c r="N238" s="42">
        <v>60</v>
      </c>
      <c r="O238" s="42">
        <v>40</v>
      </c>
      <c r="P238" s="42">
        <v>28</v>
      </c>
      <c r="S238" s="98">
        <v>8</v>
      </c>
      <c r="T238" s="42">
        <v>296</v>
      </c>
      <c r="U238" s="42">
        <v>224</v>
      </c>
      <c r="V238" s="42">
        <v>168</v>
      </c>
      <c r="W238" s="42">
        <v>115</v>
      </c>
      <c r="X238" s="42">
        <v>72</v>
      </c>
      <c r="AA238" s="98">
        <v>8</v>
      </c>
      <c r="AB238" s="42">
        <v>896</v>
      </c>
      <c r="AC238" s="42">
        <v>686</v>
      </c>
      <c r="AD238" s="42">
        <v>504</v>
      </c>
      <c r="AE238" s="42">
        <v>350</v>
      </c>
      <c r="AF238" s="42">
        <v>224</v>
      </c>
      <c r="AI238" s="98">
        <v>8</v>
      </c>
      <c r="AJ238" s="42">
        <v>2000</v>
      </c>
      <c r="AK238" s="42">
        <v>1526</v>
      </c>
      <c r="AL238" s="42">
        <v>1122</v>
      </c>
      <c r="AM238" s="42">
        <v>780</v>
      </c>
      <c r="AN238" s="42">
        <v>500</v>
      </c>
      <c r="AQ238" s="98">
        <v>8</v>
      </c>
      <c r="AR238" s="42">
        <v>2400</v>
      </c>
      <c r="AS238" s="42">
        <v>1834</v>
      </c>
      <c r="AT238" s="42">
        <v>1350</v>
      </c>
      <c r="AU238" s="42">
        <v>935</v>
      </c>
      <c r="AV238" s="42">
        <v>600</v>
      </c>
      <c r="AY238" s="98">
        <v>8</v>
      </c>
      <c r="AZ238" s="42">
        <v>2800</v>
      </c>
      <c r="BA238" s="42">
        <v>2142</v>
      </c>
      <c r="BB238" s="42">
        <v>1572</v>
      </c>
      <c r="BC238" s="42">
        <v>1090</v>
      </c>
      <c r="BD238" s="42">
        <v>700</v>
      </c>
    </row>
    <row r="239" spans="1:56" x14ac:dyDescent="0.3">
      <c r="A239" s="110"/>
      <c r="B239" s="110"/>
      <c r="C239" s="68">
        <v>9</v>
      </c>
      <c r="D239" s="42">
        <v>54</v>
      </c>
      <c r="E239" s="42">
        <v>40</v>
      </c>
      <c r="F239" s="42">
        <v>28</v>
      </c>
      <c r="G239" s="42">
        <v>18</v>
      </c>
      <c r="H239" s="42">
        <v>15</v>
      </c>
      <c r="I239" s="41"/>
      <c r="J239" s="41"/>
      <c r="K239" s="68">
        <v>9</v>
      </c>
      <c r="L239" s="42">
        <v>108</v>
      </c>
      <c r="M239" s="42">
        <v>80</v>
      </c>
      <c r="N239" s="42">
        <v>63</v>
      </c>
      <c r="O239" s="42">
        <v>42</v>
      </c>
      <c r="P239" s="42">
        <v>30</v>
      </c>
      <c r="S239" s="98">
        <v>9</v>
      </c>
      <c r="T239" s="42">
        <v>297</v>
      </c>
      <c r="U239" s="42">
        <v>232</v>
      </c>
      <c r="V239" s="42">
        <v>175</v>
      </c>
      <c r="W239" s="42">
        <v>120</v>
      </c>
      <c r="X239" s="42">
        <v>80</v>
      </c>
      <c r="AA239" s="98">
        <v>9</v>
      </c>
      <c r="AB239" s="42">
        <v>900</v>
      </c>
      <c r="AC239" s="42">
        <v>696</v>
      </c>
      <c r="AD239" s="42">
        <v>525</v>
      </c>
      <c r="AE239" s="42">
        <v>372</v>
      </c>
      <c r="AF239" s="42">
        <v>250</v>
      </c>
      <c r="AI239" s="98">
        <v>9</v>
      </c>
      <c r="AJ239" s="42">
        <v>1998</v>
      </c>
      <c r="AK239" s="42">
        <v>1552</v>
      </c>
      <c r="AL239" s="42">
        <v>1162</v>
      </c>
      <c r="AM239" s="42">
        <v>828</v>
      </c>
      <c r="AN239" s="42">
        <v>555</v>
      </c>
      <c r="AQ239" s="98">
        <v>9</v>
      </c>
      <c r="AR239" s="42">
        <v>2394</v>
      </c>
      <c r="AS239" s="42">
        <v>1864</v>
      </c>
      <c r="AT239" s="42">
        <v>1400</v>
      </c>
      <c r="AU239" s="42">
        <v>996</v>
      </c>
      <c r="AV239" s="42">
        <v>665</v>
      </c>
      <c r="AY239" s="98">
        <v>9</v>
      </c>
      <c r="AZ239" s="42">
        <v>2799</v>
      </c>
      <c r="BA239" s="42">
        <v>2176</v>
      </c>
      <c r="BB239" s="42">
        <v>1631</v>
      </c>
      <c r="BC239" s="42">
        <v>1164</v>
      </c>
      <c r="BD239" s="42">
        <v>775</v>
      </c>
    </row>
    <row r="241" spans="1:56" ht="15" x14ac:dyDescent="0.25">
      <c r="D241" s="109" t="s">
        <v>31</v>
      </c>
      <c r="E241" s="109"/>
      <c r="F241" s="109"/>
      <c r="G241" s="109"/>
      <c r="H241" s="109"/>
      <c r="L241" s="109" t="s">
        <v>30</v>
      </c>
      <c r="M241" s="109"/>
      <c r="N241" s="109"/>
      <c r="O241" s="109"/>
      <c r="P241" s="109"/>
      <c r="T241" s="109" t="s">
        <v>32</v>
      </c>
      <c r="U241" s="109"/>
      <c r="V241" s="109"/>
      <c r="W241" s="109"/>
      <c r="X241" s="109"/>
      <c r="AB241" s="109" t="s">
        <v>33</v>
      </c>
      <c r="AC241" s="109"/>
      <c r="AD241" s="109"/>
      <c r="AE241" s="109"/>
      <c r="AF241" s="109"/>
      <c r="AJ241" s="109" t="s">
        <v>34</v>
      </c>
      <c r="AK241" s="109"/>
      <c r="AL241" s="109"/>
      <c r="AM241" s="109"/>
      <c r="AN241" s="109"/>
      <c r="AR241" s="109" t="s">
        <v>35</v>
      </c>
      <c r="AS241" s="109"/>
      <c r="AT241" s="109"/>
      <c r="AU241" s="109"/>
      <c r="AV241" s="109"/>
      <c r="AZ241" s="109" t="s">
        <v>36</v>
      </c>
      <c r="BA241" s="109"/>
      <c r="BB241" s="109"/>
      <c r="BC241" s="109"/>
      <c r="BD241" s="109"/>
    </row>
    <row r="242" spans="1:56" ht="15" x14ac:dyDescent="0.25">
      <c r="C242" s="47"/>
      <c r="D242" s="68">
        <v>0</v>
      </c>
      <c r="E242" s="68">
        <v>1</v>
      </c>
      <c r="F242" s="68">
        <v>2</v>
      </c>
      <c r="G242" s="68">
        <v>3</v>
      </c>
      <c r="H242" s="68">
        <v>4</v>
      </c>
      <c r="K242" s="47"/>
      <c r="L242" s="68">
        <v>0</v>
      </c>
      <c r="M242" s="68">
        <v>1</v>
      </c>
      <c r="N242" s="68">
        <v>2</v>
      </c>
      <c r="O242" s="68">
        <v>3</v>
      </c>
      <c r="P242" s="68">
        <v>4</v>
      </c>
      <c r="S242" s="47"/>
      <c r="T242" s="98">
        <v>0</v>
      </c>
      <c r="U242" s="98">
        <v>1</v>
      </c>
      <c r="V242" s="98">
        <v>2</v>
      </c>
      <c r="W242" s="98">
        <v>3</v>
      </c>
      <c r="X242" s="98">
        <v>4</v>
      </c>
      <c r="AA242" s="47"/>
      <c r="AB242" s="98">
        <v>0</v>
      </c>
      <c r="AC242" s="98">
        <v>1</v>
      </c>
      <c r="AD242" s="98">
        <v>2</v>
      </c>
      <c r="AE242" s="98">
        <v>3</v>
      </c>
      <c r="AF242" s="98">
        <v>4</v>
      </c>
      <c r="AI242" s="47"/>
      <c r="AJ242" s="98">
        <v>0</v>
      </c>
      <c r="AK242" s="98">
        <v>1</v>
      </c>
      <c r="AL242" s="98">
        <v>2</v>
      </c>
      <c r="AM242" s="98">
        <v>3</v>
      </c>
      <c r="AN242" s="98">
        <v>4</v>
      </c>
      <c r="AQ242" s="47"/>
      <c r="AR242" s="98">
        <v>0</v>
      </c>
      <c r="AS242" s="98">
        <v>1</v>
      </c>
      <c r="AT242" s="98">
        <v>2</v>
      </c>
      <c r="AU242" s="98">
        <v>3</v>
      </c>
      <c r="AV242" s="98">
        <v>4</v>
      </c>
      <c r="AY242" s="47"/>
      <c r="AZ242" s="98">
        <v>0</v>
      </c>
      <c r="BA242" s="98">
        <v>1</v>
      </c>
      <c r="BB242" s="98">
        <v>2</v>
      </c>
      <c r="BC242" s="98">
        <v>3</v>
      </c>
      <c r="BD242" s="98">
        <v>4</v>
      </c>
    </row>
    <row r="243" spans="1:56" x14ac:dyDescent="0.3">
      <c r="A243" s="110">
        <v>21</v>
      </c>
      <c r="B243" s="110"/>
      <c r="C243" s="68">
        <v>1</v>
      </c>
      <c r="D243" s="42">
        <v>70</v>
      </c>
      <c r="E243" s="42" t="s">
        <v>29</v>
      </c>
      <c r="F243" s="42" t="s">
        <v>29</v>
      </c>
      <c r="G243" s="42" t="s">
        <v>29</v>
      </c>
      <c r="H243" s="42" t="s">
        <v>29</v>
      </c>
      <c r="K243" s="68">
        <v>1</v>
      </c>
      <c r="L243" s="42">
        <v>140</v>
      </c>
      <c r="M243" s="42" t="s">
        <v>29</v>
      </c>
      <c r="N243" s="42" t="s">
        <v>29</v>
      </c>
      <c r="O243" s="42" t="s">
        <v>29</v>
      </c>
      <c r="P243" s="42" t="s">
        <v>29</v>
      </c>
      <c r="S243" s="98">
        <v>1</v>
      </c>
      <c r="T243" s="42">
        <v>350</v>
      </c>
      <c r="U243" s="42" t="s">
        <v>29</v>
      </c>
      <c r="V243" s="42" t="s">
        <v>29</v>
      </c>
      <c r="W243" s="42" t="s">
        <v>29</v>
      </c>
      <c r="X243" s="42" t="s">
        <v>29</v>
      </c>
      <c r="AA243" s="98">
        <v>1</v>
      </c>
      <c r="AB243" s="42">
        <v>1000</v>
      </c>
      <c r="AC243" s="42" t="s">
        <v>29</v>
      </c>
      <c r="AD243" s="42" t="s">
        <v>29</v>
      </c>
      <c r="AE243" s="42" t="s">
        <v>29</v>
      </c>
      <c r="AF243" s="42" t="s">
        <v>29</v>
      </c>
      <c r="AI243" s="98">
        <v>1</v>
      </c>
      <c r="AJ243" s="42">
        <v>2200</v>
      </c>
      <c r="AK243" s="42" t="s">
        <v>29</v>
      </c>
      <c r="AL243" s="42" t="s">
        <v>29</v>
      </c>
      <c r="AM243" s="42" t="s">
        <v>29</v>
      </c>
      <c r="AN243" s="42" t="s">
        <v>29</v>
      </c>
      <c r="AQ243" s="98">
        <v>1</v>
      </c>
      <c r="AR243" s="42">
        <v>2600</v>
      </c>
      <c r="AS243" s="42" t="s">
        <v>29</v>
      </c>
      <c r="AT243" s="42" t="s">
        <v>29</v>
      </c>
      <c r="AU243" s="42" t="s">
        <v>29</v>
      </c>
      <c r="AV243" s="42" t="s">
        <v>29</v>
      </c>
      <c r="AY243" s="98">
        <v>1</v>
      </c>
      <c r="AZ243" s="42">
        <v>3000</v>
      </c>
      <c r="BA243" s="42" t="s">
        <v>29</v>
      </c>
      <c r="BB243" s="42" t="s">
        <v>29</v>
      </c>
      <c r="BC243" s="42" t="s">
        <v>29</v>
      </c>
      <c r="BD243" s="42" t="s">
        <v>29</v>
      </c>
    </row>
    <row r="244" spans="1:56" x14ac:dyDescent="0.3">
      <c r="A244" s="110"/>
      <c r="B244" s="110"/>
      <c r="C244" s="68">
        <v>2</v>
      </c>
      <c r="D244" s="42">
        <v>70</v>
      </c>
      <c r="E244" s="42">
        <v>30</v>
      </c>
      <c r="F244" s="42" t="s">
        <v>29</v>
      </c>
      <c r="G244" s="42" t="s">
        <v>29</v>
      </c>
      <c r="H244" s="42" t="s">
        <v>29</v>
      </c>
      <c r="I244" s="4"/>
      <c r="J244" s="4"/>
      <c r="K244" s="68">
        <v>2</v>
      </c>
      <c r="L244" s="42">
        <v>140</v>
      </c>
      <c r="M244" s="42">
        <v>61</v>
      </c>
      <c r="N244" s="42" t="s">
        <v>29</v>
      </c>
      <c r="O244" s="42" t="s">
        <v>29</v>
      </c>
      <c r="P244" s="42" t="s">
        <v>29</v>
      </c>
      <c r="S244" s="98">
        <v>2</v>
      </c>
      <c r="T244" s="42">
        <v>350</v>
      </c>
      <c r="U244" s="42">
        <v>153</v>
      </c>
      <c r="V244" s="42" t="s">
        <v>29</v>
      </c>
      <c r="W244" s="42" t="s">
        <v>29</v>
      </c>
      <c r="X244" s="42" t="s">
        <v>29</v>
      </c>
      <c r="AA244" s="98">
        <v>2</v>
      </c>
      <c r="AB244" s="42">
        <v>1000</v>
      </c>
      <c r="AC244" s="42">
        <v>437</v>
      </c>
      <c r="AD244" s="42" t="s">
        <v>29</v>
      </c>
      <c r="AE244" s="42" t="s">
        <v>29</v>
      </c>
      <c r="AF244" s="42" t="s">
        <v>29</v>
      </c>
      <c r="AI244" s="98">
        <v>2</v>
      </c>
      <c r="AJ244" s="42">
        <v>2200</v>
      </c>
      <c r="AK244" s="42">
        <v>962</v>
      </c>
      <c r="AL244" s="42" t="s">
        <v>29</v>
      </c>
      <c r="AM244" s="42" t="s">
        <v>29</v>
      </c>
      <c r="AN244" s="42" t="s">
        <v>29</v>
      </c>
      <c r="AQ244" s="98">
        <v>2</v>
      </c>
      <c r="AR244" s="42">
        <v>2600</v>
      </c>
      <c r="AS244" s="42">
        <v>1137</v>
      </c>
      <c r="AT244" s="42" t="s">
        <v>29</v>
      </c>
      <c r="AU244" s="42" t="s">
        <v>29</v>
      </c>
      <c r="AV244" s="42" t="s">
        <v>29</v>
      </c>
      <c r="AY244" s="98">
        <v>2</v>
      </c>
      <c r="AZ244" s="42">
        <v>3000</v>
      </c>
      <c r="BA244" s="42">
        <v>1312</v>
      </c>
      <c r="BB244" s="42" t="s">
        <v>29</v>
      </c>
      <c r="BC244" s="42" t="s">
        <v>29</v>
      </c>
      <c r="BD244" s="42" t="s">
        <v>29</v>
      </c>
    </row>
    <row r="245" spans="1:56" x14ac:dyDescent="0.3">
      <c r="A245" s="110"/>
      <c r="B245" s="110"/>
      <c r="C245" s="68">
        <v>3</v>
      </c>
      <c r="D245" s="42">
        <v>69</v>
      </c>
      <c r="E245" s="42">
        <v>40</v>
      </c>
      <c r="F245" s="42" t="s">
        <v>29</v>
      </c>
      <c r="G245" s="42" t="s">
        <v>29</v>
      </c>
      <c r="H245" s="42" t="s">
        <v>29</v>
      </c>
      <c r="I245" s="4"/>
      <c r="J245" s="4"/>
      <c r="K245" s="68">
        <v>3</v>
      </c>
      <c r="L245" s="42">
        <v>138</v>
      </c>
      <c r="M245" s="42">
        <v>80</v>
      </c>
      <c r="N245" s="42" t="s">
        <v>29</v>
      </c>
      <c r="O245" s="42" t="s">
        <v>29</v>
      </c>
      <c r="P245" s="42" t="s">
        <v>29</v>
      </c>
      <c r="S245" s="98">
        <v>3</v>
      </c>
      <c r="T245" s="42">
        <v>348</v>
      </c>
      <c r="U245" s="42">
        <v>204</v>
      </c>
      <c r="V245" s="42" t="s">
        <v>29</v>
      </c>
      <c r="W245" s="42" t="s">
        <v>29</v>
      </c>
      <c r="X245" s="42" t="s">
        <v>29</v>
      </c>
      <c r="AA245" s="98">
        <v>3</v>
      </c>
      <c r="AB245" s="42">
        <v>999</v>
      </c>
      <c r="AC245" s="42">
        <v>582</v>
      </c>
      <c r="AD245" s="42" t="s">
        <v>29</v>
      </c>
      <c r="AE245" s="42" t="s">
        <v>29</v>
      </c>
      <c r="AF245" s="42" t="s">
        <v>29</v>
      </c>
      <c r="AI245" s="98">
        <v>3</v>
      </c>
      <c r="AJ245" s="42">
        <v>2199</v>
      </c>
      <c r="AK245" s="42">
        <v>1282</v>
      </c>
      <c r="AL245" s="42" t="s">
        <v>29</v>
      </c>
      <c r="AM245" s="42" t="s">
        <v>29</v>
      </c>
      <c r="AN245" s="42" t="s">
        <v>29</v>
      </c>
      <c r="AQ245" s="98">
        <v>3</v>
      </c>
      <c r="AR245" s="42">
        <v>2598</v>
      </c>
      <c r="AS245" s="42">
        <v>1516</v>
      </c>
      <c r="AT245" s="42" t="s">
        <v>29</v>
      </c>
      <c r="AU245" s="42" t="s">
        <v>29</v>
      </c>
      <c r="AV245" s="42" t="s">
        <v>29</v>
      </c>
      <c r="AY245" s="98">
        <v>3</v>
      </c>
      <c r="AZ245" s="42">
        <v>3000</v>
      </c>
      <c r="BA245" s="42">
        <v>1750</v>
      </c>
      <c r="BB245" s="42" t="s">
        <v>29</v>
      </c>
      <c r="BC245" s="42" t="s">
        <v>29</v>
      </c>
      <c r="BD245" s="42" t="s">
        <v>29</v>
      </c>
    </row>
    <row r="246" spans="1:56" x14ac:dyDescent="0.3">
      <c r="A246" s="110"/>
      <c r="B246" s="110"/>
      <c r="C246" s="68">
        <v>4</v>
      </c>
      <c r="D246" s="42">
        <v>68</v>
      </c>
      <c r="E246" s="42">
        <v>45</v>
      </c>
      <c r="F246" s="42">
        <v>26</v>
      </c>
      <c r="G246" s="42" t="s">
        <v>29</v>
      </c>
      <c r="H246" s="42" t="s">
        <v>29</v>
      </c>
      <c r="I246" s="41"/>
      <c r="J246" s="41"/>
      <c r="K246" s="68">
        <v>4</v>
      </c>
      <c r="L246" s="42">
        <v>140</v>
      </c>
      <c r="M246" s="42">
        <v>90</v>
      </c>
      <c r="N246" s="42">
        <v>52</v>
      </c>
      <c r="O246" s="42" t="s">
        <v>29</v>
      </c>
      <c r="P246" s="42" t="s">
        <v>29</v>
      </c>
      <c r="S246" s="98">
        <v>4</v>
      </c>
      <c r="T246" s="42">
        <v>348</v>
      </c>
      <c r="U246" s="42">
        <v>228</v>
      </c>
      <c r="V246" s="42">
        <v>130</v>
      </c>
      <c r="W246" s="42" t="s">
        <v>29</v>
      </c>
      <c r="X246" s="42" t="s">
        <v>29</v>
      </c>
      <c r="AA246" s="98">
        <v>4</v>
      </c>
      <c r="AB246" s="42">
        <v>1000</v>
      </c>
      <c r="AC246" s="42">
        <v>654</v>
      </c>
      <c r="AD246" s="42">
        <v>374</v>
      </c>
      <c r="AE246" s="42" t="s">
        <v>29</v>
      </c>
      <c r="AF246" s="42" t="s">
        <v>29</v>
      </c>
      <c r="AI246" s="98">
        <v>4</v>
      </c>
      <c r="AJ246" s="42">
        <v>2200</v>
      </c>
      <c r="AK246" s="42">
        <v>1443</v>
      </c>
      <c r="AL246" s="42">
        <v>824</v>
      </c>
      <c r="AM246" s="42" t="s">
        <v>29</v>
      </c>
      <c r="AN246" s="42" t="s">
        <v>29</v>
      </c>
      <c r="AQ246" s="98">
        <v>4</v>
      </c>
      <c r="AR246" s="42">
        <v>2600</v>
      </c>
      <c r="AS246" s="42">
        <v>1704</v>
      </c>
      <c r="AT246" s="42">
        <v>974</v>
      </c>
      <c r="AU246" s="42" t="s">
        <v>29</v>
      </c>
      <c r="AV246" s="42" t="s">
        <v>29</v>
      </c>
      <c r="AY246" s="98">
        <v>4</v>
      </c>
      <c r="AZ246" s="42">
        <v>3000</v>
      </c>
      <c r="BA246" s="42">
        <v>1968</v>
      </c>
      <c r="BB246" s="42">
        <v>1124</v>
      </c>
      <c r="BC246" s="42" t="s">
        <v>29</v>
      </c>
      <c r="BD246" s="42" t="s">
        <v>29</v>
      </c>
    </row>
    <row r="247" spans="1:56" x14ac:dyDescent="0.3">
      <c r="A247" s="110"/>
      <c r="B247" s="110"/>
      <c r="C247" s="68">
        <v>5</v>
      </c>
      <c r="D247" s="42">
        <v>70</v>
      </c>
      <c r="E247" s="42">
        <v>48</v>
      </c>
      <c r="F247" s="42">
        <v>30</v>
      </c>
      <c r="G247" s="42" t="s">
        <v>29</v>
      </c>
      <c r="H247" s="42" t="s">
        <v>29</v>
      </c>
      <c r="I247" s="41"/>
      <c r="J247" s="41"/>
      <c r="K247" s="68">
        <v>5</v>
      </c>
      <c r="L247" s="42">
        <v>140</v>
      </c>
      <c r="M247" s="42">
        <v>96</v>
      </c>
      <c r="N247" s="42">
        <v>63</v>
      </c>
      <c r="O247" s="42" t="s">
        <v>29</v>
      </c>
      <c r="P247" s="42" t="s">
        <v>29</v>
      </c>
      <c r="S247" s="98">
        <v>5</v>
      </c>
      <c r="T247" s="42">
        <v>350</v>
      </c>
      <c r="U247" s="42">
        <v>244</v>
      </c>
      <c r="V247" s="42">
        <v>156</v>
      </c>
      <c r="W247" s="42" t="s">
        <v>29</v>
      </c>
      <c r="X247" s="42" t="s">
        <v>29</v>
      </c>
      <c r="AA247" s="98">
        <v>5</v>
      </c>
      <c r="AB247" s="42">
        <v>1000</v>
      </c>
      <c r="AC247" s="42">
        <v>700</v>
      </c>
      <c r="AD247" s="42">
        <v>450</v>
      </c>
      <c r="AE247" s="42" t="s">
        <v>29</v>
      </c>
      <c r="AF247" s="42" t="s">
        <v>29</v>
      </c>
      <c r="AI247" s="98">
        <v>5</v>
      </c>
      <c r="AJ247" s="42">
        <v>2200</v>
      </c>
      <c r="AK247" s="42">
        <v>1540</v>
      </c>
      <c r="AL247" s="42">
        <v>990</v>
      </c>
      <c r="AM247" s="42" t="s">
        <v>29</v>
      </c>
      <c r="AN247" s="42" t="s">
        <v>29</v>
      </c>
      <c r="AQ247" s="98">
        <v>5</v>
      </c>
      <c r="AR247" s="42">
        <v>2600</v>
      </c>
      <c r="AS247" s="42">
        <v>1820</v>
      </c>
      <c r="AT247" s="42">
        <v>1170</v>
      </c>
      <c r="AU247" s="42" t="s">
        <v>29</v>
      </c>
      <c r="AV247" s="42" t="s">
        <v>29</v>
      </c>
      <c r="AY247" s="98">
        <v>5</v>
      </c>
      <c r="AZ247" s="42">
        <v>3000</v>
      </c>
      <c r="BA247" s="42">
        <v>2100</v>
      </c>
      <c r="BB247" s="42">
        <v>1350</v>
      </c>
      <c r="BC247" s="42" t="s">
        <v>29</v>
      </c>
      <c r="BD247" s="42" t="s">
        <v>29</v>
      </c>
    </row>
    <row r="248" spans="1:56" x14ac:dyDescent="0.3">
      <c r="A248" s="110"/>
      <c r="B248" s="110"/>
      <c r="C248" s="68">
        <v>6</v>
      </c>
      <c r="D248" s="42">
        <v>66</v>
      </c>
      <c r="E248" s="42">
        <v>50</v>
      </c>
      <c r="F248" s="42">
        <v>32</v>
      </c>
      <c r="G248" s="42">
        <v>21</v>
      </c>
      <c r="H248" s="42" t="s">
        <v>29</v>
      </c>
      <c r="I248" s="41"/>
      <c r="J248" s="41"/>
      <c r="K248" s="68">
        <v>6</v>
      </c>
      <c r="L248" s="42">
        <v>138</v>
      </c>
      <c r="M248" s="42">
        <v>100</v>
      </c>
      <c r="N248" s="42">
        <v>68</v>
      </c>
      <c r="O248" s="42">
        <v>42</v>
      </c>
      <c r="P248" s="42" t="s">
        <v>29</v>
      </c>
      <c r="S248" s="98">
        <v>6</v>
      </c>
      <c r="T248" s="42">
        <v>348</v>
      </c>
      <c r="U248" s="42">
        <v>255</v>
      </c>
      <c r="V248" s="42">
        <v>172</v>
      </c>
      <c r="W248" s="42">
        <v>108</v>
      </c>
      <c r="X248" s="42" t="s">
        <v>29</v>
      </c>
      <c r="AA248" s="98">
        <v>6</v>
      </c>
      <c r="AB248" s="42">
        <v>996</v>
      </c>
      <c r="AC248" s="42">
        <v>725</v>
      </c>
      <c r="AD248" s="42">
        <v>500</v>
      </c>
      <c r="AE248" s="42">
        <v>312</v>
      </c>
      <c r="AF248" s="42" t="s">
        <v>29</v>
      </c>
      <c r="AI248" s="98">
        <v>6</v>
      </c>
      <c r="AJ248" s="42">
        <v>2196</v>
      </c>
      <c r="AK248" s="42">
        <v>1600</v>
      </c>
      <c r="AL248" s="42">
        <v>1100</v>
      </c>
      <c r="AM248" s="42">
        <v>687</v>
      </c>
      <c r="AN248" s="42" t="s">
        <v>29</v>
      </c>
      <c r="AQ248" s="98">
        <v>6</v>
      </c>
      <c r="AR248" s="42">
        <v>2598</v>
      </c>
      <c r="AS248" s="42">
        <v>1895</v>
      </c>
      <c r="AT248" s="42">
        <v>1300</v>
      </c>
      <c r="AU248" s="42">
        <v>810</v>
      </c>
      <c r="AV248" s="42" t="s">
        <v>29</v>
      </c>
      <c r="AY248" s="98">
        <v>6</v>
      </c>
      <c r="AZ248" s="42">
        <v>3000</v>
      </c>
      <c r="BA248" s="42">
        <v>2185</v>
      </c>
      <c r="BB248" s="42">
        <v>1500</v>
      </c>
      <c r="BC248" s="42">
        <v>936</v>
      </c>
      <c r="BD248" s="42" t="s">
        <v>29</v>
      </c>
    </row>
    <row r="249" spans="1:56" x14ac:dyDescent="0.3">
      <c r="A249" s="110"/>
      <c r="B249" s="110"/>
      <c r="C249" s="68">
        <v>7</v>
      </c>
      <c r="D249" s="42">
        <v>70</v>
      </c>
      <c r="E249" s="42">
        <v>48</v>
      </c>
      <c r="F249" s="42">
        <v>35</v>
      </c>
      <c r="G249" s="42">
        <v>24</v>
      </c>
      <c r="H249" s="42" t="s">
        <v>29</v>
      </c>
      <c r="I249" s="41"/>
      <c r="J249" s="41"/>
      <c r="K249" s="68">
        <v>7</v>
      </c>
      <c r="L249" s="42">
        <v>140</v>
      </c>
      <c r="M249" s="42">
        <v>102</v>
      </c>
      <c r="N249" s="42">
        <v>75</v>
      </c>
      <c r="O249" s="42">
        <v>48</v>
      </c>
      <c r="P249" s="42" t="s">
        <v>29</v>
      </c>
      <c r="S249" s="98">
        <v>7</v>
      </c>
      <c r="T249" s="42">
        <v>350</v>
      </c>
      <c r="U249" s="42">
        <v>258</v>
      </c>
      <c r="V249" s="42">
        <v>185</v>
      </c>
      <c r="W249" s="42">
        <v>124</v>
      </c>
      <c r="X249" s="42" t="s">
        <v>29</v>
      </c>
      <c r="AA249" s="98">
        <v>7</v>
      </c>
      <c r="AB249" s="42">
        <v>994</v>
      </c>
      <c r="AC249" s="42">
        <v>750</v>
      </c>
      <c r="AD249" s="42">
        <v>535</v>
      </c>
      <c r="AE249" s="42">
        <v>356</v>
      </c>
      <c r="AF249" s="42" t="s">
        <v>29</v>
      </c>
      <c r="AI249" s="98">
        <v>7</v>
      </c>
      <c r="AJ249" s="42">
        <v>2198</v>
      </c>
      <c r="AK249" s="42">
        <v>1650</v>
      </c>
      <c r="AL249" s="42">
        <v>1175</v>
      </c>
      <c r="AM249" s="42">
        <v>784</v>
      </c>
      <c r="AN249" s="42" t="s">
        <v>29</v>
      </c>
      <c r="AQ249" s="98">
        <v>7</v>
      </c>
      <c r="AR249" s="42">
        <v>2597</v>
      </c>
      <c r="AS249" s="42">
        <v>1950</v>
      </c>
      <c r="AT249" s="42">
        <v>1390</v>
      </c>
      <c r="AU249" s="42">
        <v>928</v>
      </c>
      <c r="AV249" s="42" t="s">
        <v>29</v>
      </c>
      <c r="AY249" s="98">
        <v>7</v>
      </c>
      <c r="AZ249" s="42">
        <v>2996</v>
      </c>
      <c r="BA249" s="42">
        <v>2250</v>
      </c>
      <c r="BB249" s="42">
        <v>1605</v>
      </c>
      <c r="BC249" s="42">
        <v>1068</v>
      </c>
      <c r="BD249" s="42" t="s">
        <v>29</v>
      </c>
    </row>
    <row r="250" spans="1:56" x14ac:dyDescent="0.3">
      <c r="A250" s="110"/>
      <c r="B250" s="110"/>
      <c r="C250" s="68">
        <v>8</v>
      </c>
      <c r="D250" s="42">
        <v>64</v>
      </c>
      <c r="E250" s="42">
        <v>49</v>
      </c>
      <c r="F250" s="42">
        <v>36</v>
      </c>
      <c r="G250" s="42">
        <v>25</v>
      </c>
      <c r="H250" s="42">
        <v>16</v>
      </c>
      <c r="I250" s="41"/>
      <c r="J250" s="41"/>
      <c r="K250" s="68">
        <v>8</v>
      </c>
      <c r="L250" s="42">
        <v>136</v>
      </c>
      <c r="M250" s="42">
        <v>105</v>
      </c>
      <c r="N250" s="42">
        <v>78</v>
      </c>
      <c r="O250" s="42">
        <v>50</v>
      </c>
      <c r="P250" s="42">
        <v>32</v>
      </c>
      <c r="S250" s="98">
        <v>8</v>
      </c>
      <c r="T250" s="42">
        <v>344</v>
      </c>
      <c r="U250" s="42">
        <v>266</v>
      </c>
      <c r="V250" s="42">
        <v>192</v>
      </c>
      <c r="W250" s="42">
        <v>135</v>
      </c>
      <c r="X250" s="42">
        <v>84</v>
      </c>
      <c r="AA250" s="98">
        <v>8</v>
      </c>
      <c r="AB250" s="42">
        <v>1000</v>
      </c>
      <c r="AC250" s="42">
        <v>763</v>
      </c>
      <c r="AD250" s="42">
        <v>558</v>
      </c>
      <c r="AE250" s="42">
        <v>390</v>
      </c>
      <c r="AF250" s="42">
        <v>248</v>
      </c>
      <c r="AI250" s="98">
        <v>8</v>
      </c>
      <c r="AJ250" s="42">
        <v>2200</v>
      </c>
      <c r="AK250" s="42">
        <v>1680</v>
      </c>
      <c r="AL250" s="42">
        <v>1236</v>
      </c>
      <c r="AM250" s="42">
        <v>855</v>
      </c>
      <c r="AN250" s="42">
        <v>548</v>
      </c>
      <c r="AQ250" s="98">
        <v>8</v>
      </c>
      <c r="AR250" s="42">
        <v>2600</v>
      </c>
      <c r="AS250" s="42">
        <v>1988</v>
      </c>
      <c r="AT250" s="42">
        <v>1458</v>
      </c>
      <c r="AU250" s="42">
        <v>1015</v>
      </c>
      <c r="AV250" s="42">
        <v>648</v>
      </c>
      <c r="AY250" s="98">
        <v>8</v>
      </c>
      <c r="AZ250" s="42">
        <v>3000</v>
      </c>
      <c r="BA250" s="42">
        <v>2296</v>
      </c>
      <c r="BB250" s="42">
        <v>1686</v>
      </c>
      <c r="BC250" s="42">
        <v>1170</v>
      </c>
      <c r="BD250" s="42">
        <v>748</v>
      </c>
    </row>
    <row r="251" spans="1:56" x14ac:dyDescent="0.3">
      <c r="A251" s="110"/>
      <c r="B251" s="110"/>
      <c r="C251" s="68">
        <v>9</v>
      </c>
      <c r="D251" s="42">
        <v>63</v>
      </c>
      <c r="E251" s="42">
        <v>48</v>
      </c>
      <c r="F251" s="42">
        <v>35</v>
      </c>
      <c r="G251" s="42">
        <v>24</v>
      </c>
      <c r="H251" s="42">
        <v>15</v>
      </c>
      <c r="I251" s="41"/>
      <c r="J251" s="41"/>
      <c r="K251" s="68">
        <v>9</v>
      </c>
      <c r="L251" s="42">
        <v>135</v>
      </c>
      <c r="M251" s="42">
        <v>104</v>
      </c>
      <c r="N251" s="42">
        <v>77</v>
      </c>
      <c r="O251" s="42">
        <v>54</v>
      </c>
      <c r="P251" s="42">
        <v>35</v>
      </c>
      <c r="S251" s="98">
        <v>9</v>
      </c>
      <c r="T251" s="42">
        <v>342</v>
      </c>
      <c r="U251" s="42">
        <v>272</v>
      </c>
      <c r="V251" s="42">
        <v>203</v>
      </c>
      <c r="W251" s="42">
        <v>144</v>
      </c>
      <c r="X251" s="42">
        <v>95</v>
      </c>
      <c r="AA251" s="98">
        <v>9</v>
      </c>
      <c r="AB251" s="42">
        <v>999</v>
      </c>
      <c r="AC251" s="42">
        <v>776</v>
      </c>
      <c r="AD251" s="42">
        <v>581</v>
      </c>
      <c r="AE251" s="42">
        <v>414</v>
      </c>
      <c r="AF251" s="42">
        <v>275</v>
      </c>
      <c r="AI251" s="98">
        <v>9</v>
      </c>
      <c r="AJ251" s="42">
        <v>2196</v>
      </c>
      <c r="AK251" s="42">
        <v>1704</v>
      </c>
      <c r="AL251" s="42">
        <v>1281</v>
      </c>
      <c r="AM251" s="42">
        <v>912</v>
      </c>
      <c r="AN251" s="42">
        <v>610</v>
      </c>
      <c r="AQ251" s="98">
        <v>9</v>
      </c>
      <c r="AR251" s="42">
        <v>2592</v>
      </c>
      <c r="AS251" s="42">
        <v>2016</v>
      </c>
      <c r="AT251" s="42">
        <v>1512</v>
      </c>
      <c r="AU251" s="42">
        <v>1080</v>
      </c>
      <c r="AV251" s="42">
        <v>720</v>
      </c>
      <c r="AY251" s="98">
        <v>9</v>
      </c>
      <c r="AZ251" s="42">
        <v>2997</v>
      </c>
      <c r="BA251" s="42">
        <v>2328</v>
      </c>
      <c r="BB251" s="42">
        <v>1750</v>
      </c>
      <c r="BC251" s="42">
        <v>1248</v>
      </c>
      <c r="BD251" s="42">
        <v>830</v>
      </c>
    </row>
    <row r="253" spans="1:56" x14ac:dyDescent="0.3">
      <c r="D253" s="109" t="s">
        <v>31</v>
      </c>
      <c r="E253" s="109"/>
      <c r="F253" s="109"/>
      <c r="G253" s="109"/>
      <c r="H253" s="109"/>
      <c r="L253" s="109" t="s">
        <v>30</v>
      </c>
      <c r="M253" s="109"/>
      <c r="N253" s="109"/>
      <c r="O253" s="109"/>
      <c r="P253" s="109"/>
      <c r="T253" s="109" t="s">
        <v>32</v>
      </c>
      <c r="U253" s="109"/>
      <c r="V253" s="109"/>
      <c r="W253" s="109"/>
      <c r="X253" s="109"/>
      <c r="AB253" s="109" t="s">
        <v>33</v>
      </c>
      <c r="AC253" s="109"/>
      <c r="AD253" s="109"/>
      <c r="AE253" s="109"/>
      <c r="AF253" s="109"/>
      <c r="AJ253" s="109" t="s">
        <v>34</v>
      </c>
      <c r="AK253" s="109"/>
      <c r="AL253" s="109"/>
      <c r="AM253" s="109"/>
      <c r="AN253" s="109"/>
      <c r="AR253" s="109" t="s">
        <v>35</v>
      </c>
      <c r="AS253" s="109"/>
      <c r="AT253" s="109"/>
      <c r="AU253" s="109"/>
      <c r="AV253" s="109"/>
      <c r="AZ253" s="109" t="s">
        <v>36</v>
      </c>
      <c r="BA253" s="109"/>
      <c r="BB253" s="109"/>
      <c r="BC253" s="109"/>
      <c r="BD253" s="109"/>
    </row>
    <row r="254" spans="1:56" x14ac:dyDescent="0.3">
      <c r="C254" s="47"/>
      <c r="D254" s="68">
        <v>0</v>
      </c>
      <c r="E254" s="68">
        <v>1</v>
      </c>
      <c r="F254" s="68">
        <v>2</v>
      </c>
      <c r="G254" s="68">
        <v>3</v>
      </c>
      <c r="H254" s="68">
        <v>4</v>
      </c>
      <c r="K254" s="47"/>
      <c r="L254" s="68">
        <v>0</v>
      </c>
      <c r="M254" s="68">
        <v>1</v>
      </c>
      <c r="N254" s="68">
        <v>2</v>
      </c>
      <c r="O254" s="68">
        <v>3</v>
      </c>
      <c r="P254" s="68">
        <v>4</v>
      </c>
      <c r="S254" s="47"/>
      <c r="T254" s="98">
        <v>0</v>
      </c>
      <c r="U254" s="98">
        <v>1</v>
      </c>
      <c r="V254" s="98">
        <v>2</v>
      </c>
      <c r="W254" s="98">
        <v>3</v>
      </c>
      <c r="X254" s="98">
        <v>4</v>
      </c>
      <c r="AA254" s="47"/>
      <c r="AB254" s="98">
        <v>0</v>
      </c>
      <c r="AC254" s="98">
        <v>1</v>
      </c>
      <c r="AD254" s="98">
        <v>2</v>
      </c>
      <c r="AE254" s="98">
        <v>3</v>
      </c>
      <c r="AF254" s="98">
        <v>4</v>
      </c>
      <c r="AI254" s="47"/>
      <c r="AJ254" s="98">
        <v>0</v>
      </c>
      <c r="AK254" s="98">
        <v>1</v>
      </c>
      <c r="AL254" s="98">
        <v>2</v>
      </c>
      <c r="AM254" s="98">
        <v>3</v>
      </c>
      <c r="AN254" s="98">
        <v>4</v>
      </c>
      <c r="AQ254" s="47"/>
      <c r="AR254" s="98">
        <v>0</v>
      </c>
      <c r="AS254" s="98">
        <v>1</v>
      </c>
      <c r="AT254" s="98">
        <v>2</v>
      </c>
      <c r="AU254" s="98">
        <v>3</v>
      </c>
      <c r="AV254" s="98">
        <v>4</v>
      </c>
      <c r="AY254" s="47"/>
      <c r="AZ254" s="98">
        <v>0</v>
      </c>
      <c r="BA254" s="98">
        <v>1</v>
      </c>
      <c r="BB254" s="98">
        <v>2</v>
      </c>
      <c r="BC254" s="98">
        <v>3</v>
      </c>
      <c r="BD254" s="98">
        <v>4</v>
      </c>
    </row>
    <row r="255" spans="1:56" x14ac:dyDescent="0.3">
      <c r="A255" s="110">
        <v>22</v>
      </c>
      <c r="B255" s="110"/>
      <c r="C255" s="68">
        <v>1</v>
      </c>
      <c r="D255" s="42">
        <v>100</v>
      </c>
      <c r="E255" s="42" t="s">
        <v>29</v>
      </c>
      <c r="F255" s="42" t="s">
        <v>29</v>
      </c>
      <c r="G255" s="42" t="s">
        <v>29</v>
      </c>
      <c r="H255" s="42" t="s">
        <v>29</v>
      </c>
      <c r="K255" s="68">
        <v>1</v>
      </c>
      <c r="L255" s="42">
        <v>200</v>
      </c>
      <c r="M255" s="42" t="s">
        <v>29</v>
      </c>
      <c r="N255" s="42" t="s">
        <v>29</v>
      </c>
      <c r="O255" s="42" t="s">
        <v>29</v>
      </c>
      <c r="P255" s="42" t="s">
        <v>29</v>
      </c>
      <c r="S255" s="98">
        <v>1</v>
      </c>
      <c r="T255" s="42">
        <v>400</v>
      </c>
      <c r="U255" s="42" t="s">
        <v>29</v>
      </c>
      <c r="V255" s="42" t="s">
        <v>29</v>
      </c>
      <c r="W255" s="42" t="s">
        <v>29</v>
      </c>
      <c r="X255" s="42" t="s">
        <v>29</v>
      </c>
      <c r="AA255" s="98">
        <v>1</v>
      </c>
      <c r="AB255" s="42">
        <v>1200</v>
      </c>
      <c r="AC255" s="42" t="s">
        <v>29</v>
      </c>
      <c r="AD255" s="42" t="s">
        <v>29</v>
      </c>
      <c r="AE255" s="42" t="s">
        <v>29</v>
      </c>
      <c r="AF255" s="42" t="s">
        <v>29</v>
      </c>
      <c r="AI255" s="98">
        <v>1</v>
      </c>
      <c r="AJ255" s="42">
        <v>2800</v>
      </c>
      <c r="AK255" s="42" t="s">
        <v>29</v>
      </c>
      <c r="AL255" s="42" t="s">
        <v>29</v>
      </c>
      <c r="AM255" s="42" t="s">
        <v>29</v>
      </c>
      <c r="AN255" s="42" t="s">
        <v>29</v>
      </c>
      <c r="AQ255" s="98">
        <v>1</v>
      </c>
      <c r="AR255" s="42">
        <v>3400</v>
      </c>
      <c r="AS255" s="42" t="s">
        <v>29</v>
      </c>
      <c r="AT255" s="42" t="s">
        <v>29</v>
      </c>
      <c r="AU255" s="42" t="s">
        <v>29</v>
      </c>
      <c r="AV255" s="42" t="s">
        <v>29</v>
      </c>
      <c r="AY255" s="98">
        <v>1</v>
      </c>
      <c r="AZ255" s="42">
        <v>4000</v>
      </c>
      <c r="BA255" s="42" t="s">
        <v>29</v>
      </c>
      <c r="BB255" s="42" t="s">
        <v>29</v>
      </c>
      <c r="BC255" s="42" t="s">
        <v>29</v>
      </c>
      <c r="BD255" s="42" t="s">
        <v>29</v>
      </c>
    </row>
    <row r="256" spans="1:56" x14ac:dyDescent="0.3">
      <c r="A256" s="110"/>
      <c r="B256" s="110"/>
      <c r="C256" s="68">
        <v>2</v>
      </c>
      <c r="D256" s="42">
        <v>100</v>
      </c>
      <c r="E256" s="42">
        <v>43</v>
      </c>
      <c r="F256" s="42" t="s">
        <v>29</v>
      </c>
      <c r="G256" s="42" t="s">
        <v>29</v>
      </c>
      <c r="H256" s="42" t="s">
        <v>29</v>
      </c>
      <c r="I256" s="4"/>
      <c r="J256" s="4"/>
      <c r="K256" s="68">
        <v>2</v>
      </c>
      <c r="L256" s="42">
        <v>200</v>
      </c>
      <c r="M256" s="42">
        <v>87</v>
      </c>
      <c r="N256" s="42" t="s">
        <v>29</v>
      </c>
      <c r="O256" s="42" t="s">
        <v>29</v>
      </c>
      <c r="P256" s="42" t="s">
        <v>29</v>
      </c>
      <c r="S256" s="98">
        <v>2</v>
      </c>
      <c r="T256" s="42">
        <v>400</v>
      </c>
      <c r="U256" s="42">
        <v>175</v>
      </c>
      <c r="V256" s="42" t="s">
        <v>29</v>
      </c>
      <c r="W256" s="42" t="s">
        <v>29</v>
      </c>
      <c r="X256" s="42" t="s">
        <v>29</v>
      </c>
      <c r="AA256" s="98">
        <v>2</v>
      </c>
      <c r="AB256" s="42">
        <v>1200</v>
      </c>
      <c r="AC256" s="42">
        <v>525</v>
      </c>
      <c r="AD256" s="42" t="s">
        <v>29</v>
      </c>
      <c r="AE256" s="42" t="s">
        <v>29</v>
      </c>
      <c r="AF256" s="42" t="s">
        <v>29</v>
      </c>
      <c r="AI256" s="98">
        <v>2</v>
      </c>
      <c r="AJ256" s="42">
        <v>2800</v>
      </c>
      <c r="AK256" s="42">
        <v>1225</v>
      </c>
      <c r="AL256" s="42" t="s">
        <v>29</v>
      </c>
      <c r="AM256" s="42" t="s">
        <v>29</v>
      </c>
      <c r="AN256" s="42" t="s">
        <v>29</v>
      </c>
      <c r="AQ256" s="98">
        <v>2</v>
      </c>
      <c r="AR256" s="42">
        <v>3400</v>
      </c>
      <c r="AS256" s="42">
        <v>1487</v>
      </c>
      <c r="AT256" s="42" t="s">
        <v>29</v>
      </c>
      <c r="AU256" s="42" t="s">
        <v>29</v>
      </c>
      <c r="AV256" s="42" t="s">
        <v>29</v>
      </c>
      <c r="AY256" s="98">
        <v>2</v>
      </c>
      <c r="AZ256" s="42">
        <v>4000</v>
      </c>
      <c r="BA256" s="42">
        <v>1750</v>
      </c>
      <c r="BB256" s="42" t="s">
        <v>29</v>
      </c>
      <c r="BC256" s="42" t="s">
        <v>29</v>
      </c>
      <c r="BD256" s="42" t="s">
        <v>29</v>
      </c>
    </row>
    <row r="257" spans="1:56" x14ac:dyDescent="0.3">
      <c r="A257" s="110"/>
      <c r="B257" s="110"/>
      <c r="C257" s="68">
        <v>3</v>
      </c>
      <c r="D257" s="42">
        <v>99</v>
      </c>
      <c r="E257" s="42">
        <v>58</v>
      </c>
      <c r="F257" s="42" t="s">
        <v>29</v>
      </c>
      <c r="G257" s="42" t="s">
        <v>29</v>
      </c>
      <c r="H257" s="42" t="s">
        <v>29</v>
      </c>
      <c r="I257" s="4"/>
      <c r="J257" s="4"/>
      <c r="K257" s="68">
        <v>3</v>
      </c>
      <c r="L257" s="42">
        <v>198</v>
      </c>
      <c r="M257" s="42">
        <v>116</v>
      </c>
      <c r="N257" s="42" t="s">
        <v>29</v>
      </c>
      <c r="O257" s="42" t="s">
        <v>29</v>
      </c>
      <c r="P257" s="42" t="s">
        <v>29</v>
      </c>
      <c r="S257" s="98">
        <v>3</v>
      </c>
      <c r="T257" s="42">
        <v>399</v>
      </c>
      <c r="U257" s="42">
        <v>232</v>
      </c>
      <c r="V257" s="42" t="s">
        <v>29</v>
      </c>
      <c r="W257" s="42" t="s">
        <v>29</v>
      </c>
      <c r="X257" s="42" t="s">
        <v>29</v>
      </c>
      <c r="AA257" s="98">
        <v>3</v>
      </c>
      <c r="AB257" s="42">
        <v>1200</v>
      </c>
      <c r="AC257" s="42">
        <v>700</v>
      </c>
      <c r="AD257" s="42" t="s">
        <v>29</v>
      </c>
      <c r="AE257" s="42" t="s">
        <v>29</v>
      </c>
      <c r="AF257" s="42" t="s">
        <v>29</v>
      </c>
      <c r="AI257" s="98">
        <v>3</v>
      </c>
      <c r="AJ257" s="42">
        <v>2799</v>
      </c>
      <c r="AK257" s="42">
        <v>1632</v>
      </c>
      <c r="AL257" s="42" t="s">
        <v>29</v>
      </c>
      <c r="AM257" s="42" t="s">
        <v>29</v>
      </c>
      <c r="AN257" s="42" t="s">
        <v>29</v>
      </c>
      <c r="AQ257" s="98">
        <v>3</v>
      </c>
      <c r="AR257" s="42">
        <v>3999</v>
      </c>
      <c r="AS257" s="42">
        <v>1982</v>
      </c>
      <c r="AT257" s="42" t="s">
        <v>29</v>
      </c>
      <c r="AU257" s="42" t="s">
        <v>29</v>
      </c>
      <c r="AV257" s="42" t="s">
        <v>29</v>
      </c>
      <c r="AY257" s="98">
        <v>3</v>
      </c>
      <c r="AZ257" s="42">
        <v>3999</v>
      </c>
      <c r="BA257" s="42">
        <v>2332</v>
      </c>
      <c r="BB257" s="42" t="s">
        <v>29</v>
      </c>
      <c r="BC257" s="42" t="s">
        <v>29</v>
      </c>
      <c r="BD257" s="42" t="s">
        <v>29</v>
      </c>
    </row>
    <row r="258" spans="1:56" x14ac:dyDescent="0.3">
      <c r="A258" s="110"/>
      <c r="B258" s="110"/>
      <c r="C258" s="68">
        <v>4</v>
      </c>
      <c r="D258" s="42">
        <v>100</v>
      </c>
      <c r="E258" s="42">
        <v>63</v>
      </c>
      <c r="F258" s="42">
        <v>36</v>
      </c>
      <c r="G258" s="42" t="s">
        <v>29</v>
      </c>
      <c r="H258" s="42" t="s">
        <v>29</v>
      </c>
      <c r="I258" s="41"/>
      <c r="J258" s="41"/>
      <c r="K258" s="68">
        <v>4</v>
      </c>
      <c r="L258" s="42">
        <v>200</v>
      </c>
      <c r="M258" s="42">
        <v>129</v>
      </c>
      <c r="N258" s="42">
        <v>74</v>
      </c>
      <c r="O258" s="42" t="s">
        <v>29</v>
      </c>
      <c r="P258" s="42" t="s">
        <v>29</v>
      </c>
      <c r="S258" s="98">
        <v>4</v>
      </c>
      <c r="T258" s="42">
        <v>400</v>
      </c>
      <c r="U258" s="42">
        <v>261</v>
      </c>
      <c r="V258" s="42">
        <v>150</v>
      </c>
      <c r="W258" s="42" t="s">
        <v>29</v>
      </c>
      <c r="X258" s="42" t="s">
        <v>29</v>
      </c>
      <c r="AA258" s="98">
        <v>4</v>
      </c>
      <c r="AB258" s="42">
        <v>1200</v>
      </c>
      <c r="AC258" s="42">
        <v>786</v>
      </c>
      <c r="AD258" s="42">
        <v>450</v>
      </c>
      <c r="AE258" s="42" t="s">
        <v>29</v>
      </c>
      <c r="AF258" s="42" t="s">
        <v>29</v>
      </c>
      <c r="AI258" s="98">
        <v>4</v>
      </c>
      <c r="AJ258" s="42">
        <v>2800</v>
      </c>
      <c r="AK258" s="42">
        <v>1836</v>
      </c>
      <c r="AL258" s="42">
        <v>1050</v>
      </c>
      <c r="AM258" s="42" t="s">
        <v>29</v>
      </c>
      <c r="AN258" s="42" t="s">
        <v>29</v>
      </c>
      <c r="AQ258" s="98">
        <v>4</v>
      </c>
      <c r="AR258" s="42">
        <v>3400</v>
      </c>
      <c r="AS258" s="42">
        <v>2229</v>
      </c>
      <c r="AT258" s="42">
        <v>1274</v>
      </c>
      <c r="AU258" s="42" t="s">
        <v>29</v>
      </c>
      <c r="AV258" s="42" t="s">
        <v>29</v>
      </c>
      <c r="AY258" s="98">
        <v>4</v>
      </c>
      <c r="AZ258" s="42">
        <v>4000</v>
      </c>
      <c r="BA258" s="42">
        <v>2625</v>
      </c>
      <c r="BB258" s="42">
        <v>1500</v>
      </c>
      <c r="BC258" s="42" t="s">
        <v>29</v>
      </c>
      <c r="BD258" s="42" t="s">
        <v>29</v>
      </c>
    </row>
    <row r="259" spans="1:56" x14ac:dyDescent="0.3">
      <c r="A259" s="110"/>
      <c r="B259" s="110"/>
      <c r="C259" s="68">
        <v>5</v>
      </c>
      <c r="D259" s="42">
        <v>100</v>
      </c>
      <c r="E259" s="42">
        <v>68</v>
      </c>
      <c r="F259" s="42">
        <v>45</v>
      </c>
      <c r="G259" s="42" t="s">
        <v>29</v>
      </c>
      <c r="H259" s="42" t="s">
        <v>29</v>
      </c>
      <c r="I259" s="41"/>
      <c r="J259" s="41"/>
      <c r="K259" s="68">
        <v>5</v>
      </c>
      <c r="L259" s="42">
        <v>200</v>
      </c>
      <c r="M259" s="42">
        <v>140</v>
      </c>
      <c r="N259" s="42">
        <v>90</v>
      </c>
      <c r="O259" s="42" t="s">
        <v>29</v>
      </c>
      <c r="P259" s="42" t="s">
        <v>29</v>
      </c>
      <c r="S259" s="98">
        <v>5</v>
      </c>
      <c r="T259" s="42">
        <v>400</v>
      </c>
      <c r="U259" s="42">
        <v>280</v>
      </c>
      <c r="V259" s="42">
        <v>180</v>
      </c>
      <c r="W259" s="42" t="s">
        <v>29</v>
      </c>
      <c r="X259" s="42" t="s">
        <v>29</v>
      </c>
      <c r="AA259" s="98">
        <v>5</v>
      </c>
      <c r="AB259" s="42">
        <v>1200</v>
      </c>
      <c r="AC259" s="42">
        <v>840</v>
      </c>
      <c r="AD259" s="42">
        <v>540</v>
      </c>
      <c r="AE259" s="42" t="s">
        <v>29</v>
      </c>
      <c r="AF259" s="42" t="s">
        <v>29</v>
      </c>
      <c r="AI259" s="98">
        <v>5</v>
      </c>
      <c r="AJ259" s="42">
        <v>2800</v>
      </c>
      <c r="AK259" s="42">
        <v>1960</v>
      </c>
      <c r="AL259" s="42">
        <v>1260</v>
      </c>
      <c r="AM259" s="42" t="s">
        <v>29</v>
      </c>
      <c r="AN259" s="42" t="s">
        <v>29</v>
      </c>
      <c r="AQ259" s="98">
        <v>5</v>
      </c>
      <c r="AR259" s="42">
        <v>3400</v>
      </c>
      <c r="AS259" s="42">
        <v>2380</v>
      </c>
      <c r="AT259" s="42">
        <v>1530</v>
      </c>
      <c r="AU259" s="42" t="s">
        <v>29</v>
      </c>
      <c r="AV259" s="42" t="s">
        <v>29</v>
      </c>
      <c r="AY259" s="98">
        <v>5</v>
      </c>
      <c r="AZ259" s="42">
        <v>4000</v>
      </c>
      <c r="BA259" s="42">
        <v>2800</v>
      </c>
      <c r="BB259" s="42">
        <v>1800</v>
      </c>
      <c r="BC259" s="42" t="s">
        <v>29</v>
      </c>
      <c r="BD259" s="42" t="s">
        <v>29</v>
      </c>
    </row>
    <row r="260" spans="1:56" x14ac:dyDescent="0.3">
      <c r="A260" s="110"/>
      <c r="B260" s="110"/>
      <c r="C260" s="68">
        <v>6</v>
      </c>
      <c r="D260" s="42">
        <v>96</v>
      </c>
      <c r="E260" s="42">
        <v>70</v>
      </c>
      <c r="F260" s="42">
        <v>48</v>
      </c>
      <c r="G260" s="42">
        <v>30</v>
      </c>
      <c r="H260" s="42" t="s">
        <v>29</v>
      </c>
      <c r="I260" s="41"/>
      <c r="J260" s="41"/>
      <c r="K260" s="68">
        <v>6</v>
      </c>
      <c r="L260" s="42">
        <v>198</v>
      </c>
      <c r="M260" s="42">
        <v>145</v>
      </c>
      <c r="N260" s="42">
        <v>100</v>
      </c>
      <c r="O260" s="42">
        <v>60</v>
      </c>
      <c r="P260" s="42" t="s">
        <v>29</v>
      </c>
      <c r="S260" s="98">
        <v>6</v>
      </c>
      <c r="T260" s="42">
        <v>396</v>
      </c>
      <c r="U260" s="42">
        <v>290</v>
      </c>
      <c r="V260" s="42">
        <v>200</v>
      </c>
      <c r="W260" s="42">
        <v>123</v>
      </c>
      <c r="X260" s="42" t="s">
        <v>29</v>
      </c>
      <c r="AA260" s="98">
        <v>6</v>
      </c>
      <c r="AB260" s="42">
        <v>1200</v>
      </c>
      <c r="AC260" s="42">
        <v>875</v>
      </c>
      <c r="AD260" s="42">
        <v>600</v>
      </c>
      <c r="AE260" s="42">
        <v>375</v>
      </c>
      <c r="AF260" s="42" t="s">
        <v>29</v>
      </c>
      <c r="AI260" s="98">
        <v>6</v>
      </c>
      <c r="AJ260" s="42">
        <v>2796</v>
      </c>
      <c r="AK260" s="42">
        <v>2040</v>
      </c>
      <c r="AL260" s="42">
        <v>1400</v>
      </c>
      <c r="AM260" s="42">
        <v>873</v>
      </c>
      <c r="AN260" s="42" t="s">
        <v>29</v>
      </c>
      <c r="AQ260" s="98">
        <v>6</v>
      </c>
      <c r="AR260" s="42">
        <v>3396</v>
      </c>
      <c r="AS260" s="42">
        <v>2475</v>
      </c>
      <c r="AT260" s="42">
        <v>1700</v>
      </c>
      <c r="AU260" s="42">
        <v>1062</v>
      </c>
      <c r="AV260" s="42" t="s">
        <v>29</v>
      </c>
      <c r="AY260" s="98">
        <v>6</v>
      </c>
      <c r="AZ260" s="42">
        <v>3996</v>
      </c>
      <c r="BA260" s="42">
        <v>2915</v>
      </c>
      <c r="BB260" s="42">
        <v>2000</v>
      </c>
      <c r="BC260" s="42">
        <v>1248</v>
      </c>
      <c r="BD260" s="42" t="s">
        <v>29</v>
      </c>
    </row>
    <row r="261" spans="1:56" x14ac:dyDescent="0.3">
      <c r="A261" s="110"/>
      <c r="B261" s="110"/>
      <c r="C261" s="68">
        <v>7</v>
      </c>
      <c r="D261" s="42">
        <v>98</v>
      </c>
      <c r="E261" s="42">
        <v>72</v>
      </c>
      <c r="F261" s="42">
        <v>50</v>
      </c>
      <c r="G261" s="42">
        <v>32</v>
      </c>
      <c r="H261" s="42" t="s">
        <v>29</v>
      </c>
      <c r="I261" s="41"/>
      <c r="J261" s="41"/>
      <c r="K261" s="68">
        <v>7</v>
      </c>
      <c r="L261" s="42">
        <v>196</v>
      </c>
      <c r="M261" s="42">
        <v>150</v>
      </c>
      <c r="N261" s="42">
        <v>105</v>
      </c>
      <c r="O261" s="42">
        <v>68</v>
      </c>
      <c r="P261" s="42" t="s">
        <v>29</v>
      </c>
      <c r="S261" s="98">
        <v>7</v>
      </c>
      <c r="T261" s="42">
        <v>399</v>
      </c>
      <c r="U261" s="42">
        <v>300</v>
      </c>
      <c r="V261" s="42">
        <v>210</v>
      </c>
      <c r="W261" s="42">
        <v>140</v>
      </c>
      <c r="X261" s="42" t="s">
        <v>29</v>
      </c>
      <c r="AA261" s="98">
        <v>7</v>
      </c>
      <c r="AB261" s="42">
        <v>1197</v>
      </c>
      <c r="AC261" s="42">
        <v>900</v>
      </c>
      <c r="AD261" s="42">
        <v>640</v>
      </c>
      <c r="AE261" s="42">
        <v>428</v>
      </c>
      <c r="AF261" s="42" t="s">
        <v>29</v>
      </c>
      <c r="AI261" s="98">
        <v>7</v>
      </c>
      <c r="AJ261" s="42">
        <v>2800</v>
      </c>
      <c r="AK261" s="42">
        <v>2100</v>
      </c>
      <c r="AL261" s="42">
        <v>1500</v>
      </c>
      <c r="AM261" s="42">
        <v>1000</v>
      </c>
      <c r="AN261" s="42" t="s">
        <v>29</v>
      </c>
      <c r="AQ261" s="98">
        <v>7</v>
      </c>
      <c r="AR261" s="42">
        <v>3395</v>
      </c>
      <c r="AS261" s="42">
        <v>2250</v>
      </c>
      <c r="AT261" s="42">
        <v>1820</v>
      </c>
      <c r="AU261" s="42">
        <v>1212</v>
      </c>
      <c r="AV261" s="42" t="s">
        <v>29</v>
      </c>
      <c r="AY261" s="98">
        <v>7</v>
      </c>
      <c r="AZ261" s="42">
        <v>3997</v>
      </c>
      <c r="BA261" s="42">
        <v>3000</v>
      </c>
      <c r="BB261" s="42">
        <v>2140</v>
      </c>
      <c r="BC261" s="42">
        <v>1428</v>
      </c>
      <c r="BD261" s="42" t="s">
        <v>29</v>
      </c>
    </row>
    <row r="262" spans="1:56" x14ac:dyDescent="0.3">
      <c r="A262" s="110"/>
      <c r="B262" s="110"/>
      <c r="C262" s="68">
        <v>8</v>
      </c>
      <c r="D262" s="42">
        <v>96</v>
      </c>
      <c r="E262" s="42">
        <v>70</v>
      </c>
      <c r="F262" s="42">
        <v>54</v>
      </c>
      <c r="G262" s="42">
        <v>35</v>
      </c>
      <c r="H262" s="42">
        <v>24</v>
      </c>
      <c r="I262" s="41"/>
      <c r="J262" s="41"/>
      <c r="K262" s="68">
        <v>8</v>
      </c>
      <c r="L262" s="42">
        <v>200</v>
      </c>
      <c r="M262" s="42">
        <v>147</v>
      </c>
      <c r="N262" s="42">
        <v>108</v>
      </c>
      <c r="O262" s="42">
        <v>75</v>
      </c>
      <c r="P262" s="42">
        <v>48</v>
      </c>
      <c r="S262" s="98">
        <v>8</v>
      </c>
      <c r="T262" s="42">
        <v>400</v>
      </c>
      <c r="U262" s="42">
        <v>301</v>
      </c>
      <c r="V262" s="42">
        <v>222</v>
      </c>
      <c r="W262" s="42">
        <v>155</v>
      </c>
      <c r="X262" s="42">
        <v>100</v>
      </c>
      <c r="AA262" s="98">
        <v>8</v>
      </c>
      <c r="AB262" s="42">
        <v>1200</v>
      </c>
      <c r="AC262" s="42">
        <v>917</v>
      </c>
      <c r="AD262" s="42">
        <v>672</v>
      </c>
      <c r="AE262" s="42">
        <v>465</v>
      </c>
      <c r="AF262" s="42">
        <v>300</v>
      </c>
      <c r="AI262" s="98">
        <v>8</v>
      </c>
      <c r="AJ262" s="42">
        <v>2800</v>
      </c>
      <c r="AK262" s="42">
        <v>2142</v>
      </c>
      <c r="AL262" s="42">
        <v>1572</v>
      </c>
      <c r="AM262" s="42">
        <v>1090</v>
      </c>
      <c r="AN262" s="42">
        <v>700</v>
      </c>
      <c r="AQ262" s="98">
        <v>8</v>
      </c>
      <c r="AR262" s="42">
        <v>3400</v>
      </c>
      <c r="AS262" s="42">
        <v>2597</v>
      </c>
      <c r="AT262" s="42">
        <v>1908</v>
      </c>
      <c r="AU262" s="42">
        <v>1325</v>
      </c>
      <c r="AV262" s="42">
        <v>848</v>
      </c>
      <c r="AY262" s="98">
        <v>8</v>
      </c>
      <c r="AZ262" s="42">
        <v>4000</v>
      </c>
      <c r="BA262" s="42">
        <v>3059</v>
      </c>
      <c r="BB262" s="42">
        <v>2250</v>
      </c>
      <c r="BC262" s="42">
        <v>1560</v>
      </c>
      <c r="BD262" s="42">
        <v>1000</v>
      </c>
    </row>
    <row r="263" spans="1:56" x14ac:dyDescent="0.3">
      <c r="A263" s="110"/>
      <c r="B263" s="110"/>
      <c r="C263" s="68">
        <v>9</v>
      </c>
      <c r="D263" s="42">
        <v>99</v>
      </c>
      <c r="E263" s="42">
        <v>72</v>
      </c>
      <c r="F263" s="42">
        <v>56</v>
      </c>
      <c r="G263" s="42">
        <v>36</v>
      </c>
      <c r="H263" s="42">
        <v>25</v>
      </c>
      <c r="I263" s="41"/>
      <c r="J263" s="41"/>
      <c r="K263" s="68">
        <v>9</v>
      </c>
      <c r="L263" s="42">
        <v>198</v>
      </c>
      <c r="M263" s="42">
        <v>152</v>
      </c>
      <c r="N263" s="42">
        <v>112</v>
      </c>
      <c r="O263" s="42">
        <v>78</v>
      </c>
      <c r="P263" s="42">
        <v>55</v>
      </c>
      <c r="S263" s="98">
        <v>9</v>
      </c>
      <c r="T263" s="42">
        <v>396</v>
      </c>
      <c r="U263" s="42">
        <v>304</v>
      </c>
      <c r="V263" s="42">
        <v>231</v>
      </c>
      <c r="W263" s="42">
        <v>162</v>
      </c>
      <c r="X263" s="42">
        <v>110</v>
      </c>
      <c r="AA263" s="98">
        <v>9</v>
      </c>
      <c r="AB263" s="42">
        <v>1197</v>
      </c>
      <c r="AC263" s="42">
        <v>928</v>
      </c>
      <c r="AD263" s="42">
        <v>700</v>
      </c>
      <c r="AE263" s="42">
        <v>498</v>
      </c>
      <c r="AF263" s="42">
        <v>330</v>
      </c>
      <c r="AI263" s="98">
        <v>9</v>
      </c>
      <c r="AJ263" s="42">
        <v>2799</v>
      </c>
      <c r="AK263" s="42">
        <v>2176</v>
      </c>
      <c r="AL263" s="42">
        <v>1631</v>
      </c>
      <c r="AM263" s="42">
        <v>1164</v>
      </c>
      <c r="AN263" s="42">
        <v>775</v>
      </c>
      <c r="AQ263" s="98">
        <v>9</v>
      </c>
      <c r="AR263" s="42">
        <v>3393</v>
      </c>
      <c r="AS263" s="42">
        <v>2640</v>
      </c>
      <c r="AT263" s="42">
        <v>1981</v>
      </c>
      <c r="AU263" s="42">
        <v>1416</v>
      </c>
      <c r="AV263" s="42">
        <v>940</v>
      </c>
      <c r="AY263" s="98">
        <v>9</v>
      </c>
      <c r="AZ263" s="42">
        <v>3996</v>
      </c>
      <c r="BA263" s="42">
        <v>3104</v>
      </c>
      <c r="BB263" s="42">
        <v>2331</v>
      </c>
      <c r="BC263" s="42">
        <v>1662</v>
      </c>
      <c r="BD263" s="42">
        <v>1110</v>
      </c>
    </row>
  </sheetData>
  <mergeCells count="176">
    <mergeCell ref="AB1:AF1"/>
    <mergeCell ref="T13:X13"/>
    <mergeCell ref="AB13:AF13"/>
    <mergeCell ref="AJ1:AN1"/>
    <mergeCell ref="AR1:AV1"/>
    <mergeCell ref="AZ1:BD1"/>
    <mergeCell ref="A51:B59"/>
    <mergeCell ref="D37:H37"/>
    <mergeCell ref="L37:P37"/>
    <mergeCell ref="A39:B47"/>
    <mergeCell ref="D49:H49"/>
    <mergeCell ref="L49:P49"/>
    <mergeCell ref="A27:B35"/>
    <mergeCell ref="A3:B11"/>
    <mergeCell ref="A15:B23"/>
    <mergeCell ref="D13:H13"/>
    <mergeCell ref="L13:P13"/>
    <mergeCell ref="D1:H1"/>
    <mergeCell ref="AB37:AF37"/>
    <mergeCell ref="AJ37:AN37"/>
    <mergeCell ref="AR37:AV37"/>
    <mergeCell ref="AZ37:BD37"/>
    <mergeCell ref="AJ13:AN13"/>
    <mergeCell ref="AR13:AV13"/>
    <mergeCell ref="D61:H61"/>
    <mergeCell ref="L61:P61"/>
    <mergeCell ref="A63:B71"/>
    <mergeCell ref="D73:H73"/>
    <mergeCell ref="L73:P73"/>
    <mergeCell ref="L1:P1"/>
    <mergeCell ref="D25:H25"/>
    <mergeCell ref="L25:P25"/>
    <mergeCell ref="T1:X1"/>
    <mergeCell ref="T37:X37"/>
    <mergeCell ref="A99:B107"/>
    <mergeCell ref="D109:H109"/>
    <mergeCell ref="L109:P109"/>
    <mergeCell ref="A111:B119"/>
    <mergeCell ref="D121:H121"/>
    <mergeCell ref="L121:P121"/>
    <mergeCell ref="A75:B83"/>
    <mergeCell ref="D85:H85"/>
    <mergeCell ref="L85:P85"/>
    <mergeCell ref="A87:B95"/>
    <mergeCell ref="D97:H97"/>
    <mergeCell ref="L97:P97"/>
    <mergeCell ref="A147:B155"/>
    <mergeCell ref="D157:H157"/>
    <mergeCell ref="L157:P157"/>
    <mergeCell ref="A159:B167"/>
    <mergeCell ref="D169:H169"/>
    <mergeCell ref="L169:P169"/>
    <mergeCell ref="A123:B131"/>
    <mergeCell ref="D133:H133"/>
    <mergeCell ref="L133:P133"/>
    <mergeCell ref="A135:B143"/>
    <mergeCell ref="D145:H145"/>
    <mergeCell ref="L145:P145"/>
    <mergeCell ref="A195:B203"/>
    <mergeCell ref="D205:H205"/>
    <mergeCell ref="L205:P205"/>
    <mergeCell ref="A207:B215"/>
    <mergeCell ref="D217:H217"/>
    <mergeCell ref="L217:P217"/>
    <mergeCell ref="A171:B179"/>
    <mergeCell ref="D181:H181"/>
    <mergeCell ref="L181:P181"/>
    <mergeCell ref="A183:B191"/>
    <mergeCell ref="D193:H193"/>
    <mergeCell ref="L193:P193"/>
    <mergeCell ref="A243:B251"/>
    <mergeCell ref="D253:H253"/>
    <mergeCell ref="L253:P253"/>
    <mergeCell ref="A255:B263"/>
    <mergeCell ref="A219:B227"/>
    <mergeCell ref="D229:H229"/>
    <mergeCell ref="L229:P229"/>
    <mergeCell ref="A231:B239"/>
    <mergeCell ref="D241:H241"/>
    <mergeCell ref="L241:P241"/>
    <mergeCell ref="AZ13:BD13"/>
    <mergeCell ref="T25:X25"/>
    <mergeCell ref="AB25:AF25"/>
    <mergeCell ref="AJ25:AN25"/>
    <mergeCell ref="AR25:AV25"/>
    <mergeCell ref="AZ25:BD25"/>
    <mergeCell ref="T61:X61"/>
    <mergeCell ref="AB61:AF61"/>
    <mergeCell ref="AJ61:AN61"/>
    <mergeCell ref="AR61:AV61"/>
    <mergeCell ref="AZ61:BD61"/>
    <mergeCell ref="T49:X49"/>
    <mergeCell ref="AB49:AF49"/>
    <mergeCell ref="AJ49:AN49"/>
    <mergeCell ref="AR49:AV49"/>
    <mergeCell ref="AZ49:BD49"/>
    <mergeCell ref="T85:X85"/>
    <mergeCell ref="AB85:AF85"/>
    <mergeCell ref="AJ85:AN85"/>
    <mergeCell ref="AR85:AV85"/>
    <mergeCell ref="AZ85:BD85"/>
    <mergeCell ref="T73:X73"/>
    <mergeCell ref="AB73:AF73"/>
    <mergeCell ref="AJ73:AN73"/>
    <mergeCell ref="AR73:AV73"/>
    <mergeCell ref="AZ73:BD73"/>
    <mergeCell ref="T109:X109"/>
    <mergeCell ref="AB109:AF109"/>
    <mergeCell ref="AJ109:AN109"/>
    <mergeCell ref="AR109:AV109"/>
    <mergeCell ref="AZ109:BD109"/>
    <mergeCell ref="T97:X97"/>
    <mergeCell ref="AB97:AF97"/>
    <mergeCell ref="AJ97:AN97"/>
    <mergeCell ref="AR97:AV97"/>
    <mergeCell ref="AZ97:BD97"/>
    <mergeCell ref="T133:X133"/>
    <mergeCell ref="AB133:AF133"/>
    <mergeCell ref="AJ133:AN133"/>
    <mergeCell ref="AR133:AV133"/>
    <mergeCell ref="AZ133:BD133"/>
    <mergeCell ref="T121:X121"/>
    <mergeCell ref="AB121:AF121"/>
    <mergeCell ref="AJ121:AN121"/>
    <mergeCell ref="AR121:AV121"/>
    <mergeCell ref="AZ121:BD121"/>
    <mergeCell ref="T157:X157"/>
    <mergeCell ref="AB157:AF157"/>
    <mergeCell ref="AJ157:AN157"/>
    <mergeCell ref="AR157:AV157"/>
    <mergeCell ref="AZ157:BD157"/>
    <mergeCell ref="T145:X145"/>
    <mergeCell ref="AB145:AF145"/>
    <mergeCell ref="AJ145:AN145"/>
    <mergeCell ref="AR145:AV145"/>
    <mergeCell ref="AZ145:BD145"/>
    <mergeCell ref="T181:X181"/>
    <mergeCell ref="AB181:AF181"/>
    <mergeCell ref="AJ181:AN181"/>
    <mergeCell ref="AR181:AV181"/>
    <mergeCell ref="AZ181:BD181"/>
    <mergeCell ref="T169:X169"/>
    <mergeCell ref="AB169:AF169"/>
    <mergeCell ref="AJ169:AN169"/>
    <mergeCell ref="AR169:AV169"/>
    <mergeCell ref="AZ169:BD169"/>
    <mergeCell ref="T205:X205"/>
    <mergeCell ref="AB205:AF205"/>
    <mergeCell ref="AJ205:AN205"/>
    <mergeCell ref="AR205:AV205"/>
    <mergeCell ref="AZ205:BD205"/>
    <mergeCell ref="T193:X193"/>
    <mergeCell ref="AB193:AF193"/>
    <mergeCell ref="AJ193:AN193"/>
    <mergeCell ref="AR193:AV193"/>
    <mergeCell ref="AZ193:BD193"/>
    <mergeCell ref="T229:X229"/>
    <mergeCell ref="AB229:AF229"/>
    <mergeCell ref="AJ229:AN229"/>
    <mergeCell ref="AR229:AV229"/>
    <mergeCell ref="AZ229:BD229"/>
    <mergeCell ref="T217:X217"/>
    <mergeCell ref="AB217:AF217"/>
    <mergeCell ref="AJ217:AN217"/>
    <mergeCell ref="AR217:AV217"/>
    <mergeCell ref="AZ217:BD217"/>
    <mergeCell ref="T253:X253"/>
    <mergeCell ref="AB253:AF253"/>
    <mergeCell ref="AJ253:AN253"/>
    <mergeCell ref="AR253:AV253"/>
    <mergeCell ref="AZ253:BD253"/>
    <mergeCell ref="T241:X241"/>
    <mergeCell ref="AB241:AF241"/>
    <mergeCell ref="AJ241:AN241"/>
    <mergeCell ref="AR241:AV241"/>
    <mergeCell ref="AZ241:BD24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3"/>
  <dimension ref="A1"/>
  <sheetViews>
    <sheetView workbookViewId="0">
      <selection activeCell="C5" sqref="C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3</vt:i4>
      </vt:variant>
      <vt:variant>
        <vt:lpstr>Περιοχές με ονόματα</vt:lpstr>
      </vt:variant>
      <vt:variant>
        <vt:i4>22</vt:i4>
      </vt:variant>
    </vt:vector>
  </HeadingPairs>
  <TitlesOfParts>
    <vt:vector size="25" baseType="lpstr">
      <vt:lpstr>Φύλλο1</vt:lpstr>
      <vt:lpstr>Φύλλο2</vt:lpstr>
      <vt:lpstr>Φύλλο3</vt:lpstr>
      <vt:lpstr>Rank1</vt:lpstr>
      <vt:lpstr>Rank10</vt:lpstr>
      <vt:lpstr>Rank11</vt:lpstr>
      <vt:lpstr>Rank12</vt:lpstr>
      <vt:lpstr>Rank13</vt:lpstr>
      <vt:lpstr>Rank14</vt:lpstr>
      <vt:lpstr>Rank15</vt:lpstr>
      <vt:lpstr>Rank16</vt:lpstr>
      <vt:lpstr>Rank17</vt:lpstr>
      <vt:lpstr>Rank18</vt:lpstr>
      <vt:lpstr>Rank19</vt:lpstr>
      <vt:lpstr>Rank2</vt:lpstr>
      <vt:lpstr>Rank20</vt:lpstr>
      <vt:lpstr>Rank21</vt:lpstr>
      <vt:lpstr>Rank22</vt:lpstr>
      <vt:lpstr>Rank3</vt:lpstr>
      <vt:lpstr>Rank4</vt:lpstr>
      <vt:lpstr>Rank5</vt:lpstr>
      <vt:lpstr>Rank6</vt:lpstr>
      <vt:lpstr>Rank7</vt:lpstr>
      <vt:lpstr>Rank8</vt:lpstr>
      <vt:lpstr>Rank9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2021-09-14T21:08:53Z</dcterms:modified>
</cp:coreProperties>
</file>