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110" yWindow="285" windowWidth="19200" windowHeight="8190"/>
  </bookViews>
  <sheets>
    <sheet name="Character" sheetId="4" r:id="rId1"/>
    <sheet name="Alchemical Items" sheetId="1" r:id="rId2"/>
    <sheet name="Crafting" sheetId="6" r:id="rId3"/>
    <sheet name="Strategies" sheetId="2" r:id="rId4"/>
    <sheet name="Descriptions" sheetId="5" r:id="rId5"/>
  </sheets>
  <calcPr calcId="152511"/>
</workbook>
</file>

<file path=xl/calcChain.xml><?xml version="1.0" encoding="utf-8"?>
<calcChain xmlns="http://schemas.openxmlformats.org/spreadsheetml/2006/main">
  <c r="AJ20" i="1" l="1"/>
  <c r="AM59" i="1"/>
  <c r="AP59" i="1"/>
  <c r="AS59" i="1"/>
  <c r="AV59" i="1"/>
  <c r="AY59" i="1"/>
  <c r="BB59" i="1"/>
  <c r="BE59" i="1"/>
  <c r="BH59" i="1"/>
  <c r="BK59" i="1"/>
  <c r="BN59" i="1"/>
  <c r="AM60" i="1"/>
  <c r="AP60" i="1"/>
  <c r="AS60" i="1"/>
  <c r="AV60" i="1"/>
  <c r="AY60" i="1"/>
  <c r="BB60" i="1"/>
  <c r="BE60" i="1"/>
  <c r="BH60" i="1"/>
  <c r="BK60" i="1"/>
  <c r="BN60" i="1"/>
  <c r="D40" i="1"/>
  <c r="D39" i="1"/>
  <c r="I40" i="1"/>
  <c r="K40" i="1" s="1"/>
  <c r="F40" i="1"/>
  <c r="H40" i="1" s="1"/>
  <c r="I39" i="1"/>
  <c r="K39" i="1" s="1"/>
  <c r="F39" i="1"/>
  <c r="H39" i="1" s="1"/>
  <c r="D38" i="1" l="1"/>
  <c r="D6" i="1" l="1"/>
  <c r="N29" i="4" l="1"/>
  <c r="N28" i="4"/>
  <c r="M29" i="4"/>
  <c r="Q63" i="4" l="1"/>
  <c r="Q61" i="4"/>
  <c r="Q48" i="4"/>
  <c r="Q46" i="4"/>
  <c r="I92" i="4"/>
  <c r="I100" i="4" s="1"/>
  <c r="X86" i="4" l="1"/>
  <c r="X84" i="4"/>
  <c r="X82" i="4"/>
  <c r="AM55" i="1" l="1"/>
  <c r="AP55" i="1"/>
  <c r="AS55" i="1"/>
  <c r="AV55" i="1"/>
  <c r="AY55" i="1"/>
  <c r="BB55" i="1"/>
  <c r="BE55" i="1"/>
  <c r="BH55" i="1"/>
  <c r="BK55" i="1"/>
  <c r="BN55" i="1"/>
  <c r="AM56" i="1"/>
  <c r="AP56" i="1"/>
  <c r="AS56" i="1"/>
  <c r="AV56" i="1"/>
  <c r="AY56" i="1"/>
  <c r="BB56" i="1"/>
  <c r="BE56" i="1"/>
  <c r="BH56" i="1"/>
  <c r="BK56" i="1"/>
  <c r="BN56" i="1"/>
  <c r="AM57" i="1"/>
  <c r="AP57" i="1"/>
  <c r="AS57" i="1"/>
  <c r="AV57" i="1"/>
  <c r="AY57" i="1"/>
  <c r="BB57" i="1"/>
  <c r="BE57" i="1"/>
  <c r="BH57" i="1"/>
  <c r="BK57" i="1"/>
  <c r="BN57" i="1"/>
  <c r="AM58" i="1"/>
  <c r="AP58" i="1"/>
  <c r="AS58" i="1"/>
  <c r="AV58" i="1"/>
  <c r="AY58" i="1"/>
  <c r="BB58" i="1"/>
  <c r="BE58" i="1"/>
  <c r="BH58" i="1"/>
  <c r="BK58" i="1"/>
  <c r="BN58" i="1"/>
  <c r="AM39" i="1"/>
  <c r="AP39" i="1"/>
  <c r="AS39" i="1"/>
  <c r="AV39" i="1"/>
  <c r="AY39" i="1"/>
  <c r="BB39" i="1"/>
  <c r="BE39" i="1"/>
  <c r="BH39" i="1"/>
  <c r="BK39" i="1"/>
  <c r="BN39" i="1"/>
  <c r="AM40" i="1"/>
  <c r="AP40" i="1"/>
  <c r="AS40" i="1"/>
  <c r="AV40" i="1"/>
  <c r="AY40" i="1"/>
  <c r="BB40" i="1"/>
  <c r="BE40" i="1"/>
  <c r="BH40" i="1"/>
  <c r="BK40" i="1"/>
  <c r="BN40" i="1"/>
  <c r="AM41" i="1"/>
  <c r="AP41" i="1"/>
  <c r="AS41" i="1"/>
  <c r="AV41" i="1"/>
  <c r="AY41" i="1"/>
  <c r="BB41" i="1"/>
  <c r="BE41" i="1"/>
  <c r="BH41" i="1"/>
  <c r="BK41" i="1"/>
  <c r="BN41" i="1"/>
  <c r="AM42" i="1"/>
  <c r="AP42" i="1"/>
  <c r="AS42" i="1"/>
  <c r="AV42" i="1"/>
  <c r="AY42" i="1"/>
  <c r="BB42" i="1"/>
  <c r="BE42" i="1"/>
  <c r="BH42" i="1"/>
  <c r="BK42" i="1"/>
  <c r="BN42" i="1"/>
  <c r="AM43" i="1"/>
  <c r="AP43" i="1"/>
  <c r="AS43" i="1"/>
  <c r="AV43" i="1"/>
  <c r="AY43" i="1"/>
  <c r="BB43" i="1"/>
  <c r="BE43" i="1"/>
  <c r="BH43" i="1"/>
  <c r="BK43" i="1"/>
  <c r="BN43" i="1"/>
  <c r="AM44" i="1"/>
  <c r="AP44" i="1"/>
  <c r="AS44" i="1"/>
  <c r="AV44" i="1"/>
  <c r="AY44" i="1"/>
  <c r="BB44" i="1"/>
  <c r="BE44" i="1"/>
  <c r="BH44" i="1"/>
  <c r="BK44" i="1"/>
  <c r="BN44" i="1"/>
  <c r="AM45" i="1"/>
  <c r="AP45" i="1"/>
  <c r="AS45" i="1"/>
  <c r="AV45" i="1"/>
  <c r="AY45" i="1"/>
  <c r="BB45" i="1"/>
  <c r="BE45" i="1"/>
  <c r="BH45" i="1"/>
  <c r="BK45" i="1"/>
  <c r="BN45" i="1"/>
  <c r="AM46" i="1"/>
  <c r="AP46" i="1"/>
  <c r="AS46" i="1"/>
  <c r="AV46" i="1"/>
  <c r="AY46" i="1"/>
  <c r="BB46" i="1"/>
  <c r="BE46" i="1"/>
  <c r="BH46" i="1"/>
  <c r="BK46" i="1"/>
  <c r="BN46" i="1"/>
  <c r="AM47" i="1"/>
  <c r="AP47" i="1"/>
  <c r="AS47" i="1"/>
  <c r="AV47" i="1"/>
  <c r="AY47" i="1"/>
  <c r="BB47" i="1"/>
  <c r="BE47" i="1"/>
  <c r="BH47" i="1"/>
  <c r="BK47" i="1"/>
  <c r="BN47" i="1"/>
  <c r="AM48" i="1"/>
  <c r="AP48" i="1"/>
  <c r="AS48" i="1"/>
  <c r="AV48" i="1"/>
  <c r="AY48" i="1"/>
  <c r="BB48" i="1"/>
  <c r="BE48" i="1"/>
  <c r="BH48" i="1"/>
  <c r="BK48" i="1"/>
  <c r="BN48" i="1"/>
  <c r="AM49" i="1"/>
  <c r="AP49" i="1"/>
  <c r="AS49" i="1"/>
  <c r="AV49" i="1"/>
  <c r="AY49" i="1"/>
  <c r="BB49" i="1"/>
  <c r="BE49" i="1"/>
  <c r="BH49" i="1"/>
  <c r="BK49" i="1"/>
  <c r="BN49" i="1"/>
  <c r="AM50" i="1"/>
  <c r="AP50" i="1"/>
  <c r="AS50" i="1"/>
  <c r="AV50" i="1"/>
  <c r="AY50" i="1"/>
  <c r="BB50" i="1"/>
  <c r="BE50" i="1"/>
  <c r="BH50" i="1"/>
  <c r="BK50" i="1"/>
  <c r="BN50" i="1"/>
  <c r="F9" i="1"/>
  <c r="H9" i="1" s="1"/>
  <c r="I9" i="1"/>
  <c r="K9" i="1" s="1"/>
  <c r="F10" i="1"/>
  <c r="H10" i="1" s="1"/>
  <c r="I10" i="1"/>
  <c r="K10" i="1" s="1"/>
  <c r="F11" i="1"/>
  <c r="H11" i="1" s="1"/>
  <c r="I11" i="1"/>
  <c r="K11" i="1" s="1"/>
  <c r="F12" i="1"/>
  <c r="H12" i="1" s="1"/>
  <c r="I12" i="1"/>
  <c r="K12" i="1" s="1"/>
  <c r="F13" i="1"/>
  <c r="H13" i="1" s="1"/>
  <c r="I13" i="1"/>
  <c r="K13" i="1" s="1"/>
  <c r="F14" i="1"/>
  <c r="H14" i="1" s="1"/>
  <c r="I14" i="1"/>
  <c r="K14" i="1" s="1"/>
  <c r="F15" i="1"/>
  <c r="H15" i="1" s="1"/>
  <c r="I15" i="1"/>
  <c r="K15" i="1" s="1"/>
  <c r="F16" i="1"/>
  <c r="H16" i="1" s="1"/>
  <c r="I16" i="1"/>
  <c r="K16" i="1" s="1"/>
  <c r="F17" i="1"/>
  <c r="H17" i="1" s="1"/>
  <c r="I17" i="1"/>
  <c r="K17" i="1" s="1"/>
  <c r="F18" i="1"/>
  <c r="H18" i="1" s="1"/>
  <c r="I18" i="1"/>
  <c r="K18" i="1" s="1"/>
  <c r="F19" i="1"/>
  <c r="H19" i="1" s="1"/>
  <c r="I19" i="1"/>
  <c r="K19" i="1" s="1"/>
  <c r="F20" i="1"/>
  <c r="H20" i="1" s="1"/>
  <c r="I20" i="1"/>
  <c r="K20" i="1" s="1"/>
  <c r="F21" i="1"/>
  <c r="H21" i="1" s="1"/>
  <c r="I21" i="1"/>
  <c r="K21" i="1" s="1"/>
  <c r="F22" i="1"/>
  <c r="H22" i="1" s="1"/>
  <c r="I22" i="1"/>
  <c r="K22" i="1" s="1"/>
  <c r="F23" i="1"/>
  <c r="H23" i="1" s="1"/>
  <c r="I23" i="1"/>
  <c r="K23" i="1" s="1"/>
  <c r="F24" i="1"/>
  <c r="H24" i="1" s="1"/>
  <c r="I24" i="1"/>
  <c r="K24" i="1" s="1"/>
  <c r="F25" i="1"/>
  <c r="H25" i="1" s="1"/>
  <c r="I25" i="1"/>
  <c r="K25" i="1" s="1"/>
  <c r="F26" i="1"/>
  <c r="H26" i="1" s="1"/>
  <c r="I26" i="1"/>
  <c r="K26" i="1" s="1"/>
  <c r="F27" i="1"/>
  <c r="H27" i="1" s="1"/>
  <c r="I27" i="1"/>
  <c r="K27" i="1" s="1"/>
  <c r="F28" i="1"/>
  <c r="H28" i="1" s="1"/>
  <c r="I28" i="1"/>
  <c r="K28" i="1" s="1"/>
  <c r="F29" i="1"/>
  <c r="H29" i="1" s="1"/>
  <c r="I29" i="1"/>
  <c r="K29" i="1" s="1"/>
  <c r="F30" i="1"/>
  <c r="H30" i="1" s="1"/>
  <c r="I30" i="1"/>
  <c r="K30" i="1" s="1"/>
  <c r="F31" i="1"/>
  <c r="H31" i="1" s="1"/>
  <c r="I31" i="1"/>
  <c r="K31" i="1" s="1"/>
  <c r="F32" i="1"/>
  <c r="H32" i="1" s="1"/>
  <c r="I32" i="1"/>
  <c r="K32" i="1" s="1"/>
  <c r="F33" i="1"/>
  <c r="H33" i="1" s="1"/>
  <c r="I33" i="1"/>
  <c r="K33" i="1" s="1"/>
  <c r="F34" i="1"/>
  <c r="H34" i="1" s="1"/>
  <c r="I34" i="1"/>
  <c r="K34" i="1" s="1"/>
  <c r="F35" i="1"/>
  <c r="H35" i="1" s="1"/>
  <c r="I35" i="1"/>
  <c r="K35" i="1" s="1"/>
  <c r="F36" i="1"/>
  <c r="H36" i="1" s="1"/>
  <c r="I36" i="1"/>
  <c r="K36" i="1" s="1"/>
  <c r="F37" i="1"/>
  <c r="H37" i="1" s="1"/>
  <c r="I37" i="1"/>
  <c r="K37" i="1" s="1"/>
  <c r="F38" i="1"/>
  <c r="H38" i="1" s="1"/>
  <c r="I38" i="1"/>
  <c r="K38" i="1" s="1"/>
  <c r="P38" i="4" l="1"/>
  <c r="P37" i="4"/>
  <c r="P36" i="4"/>
  <c r="P35" i="4"/>
  <c r="P34" i="4"/>
  <c r="N48" i="4"/>
  <c r="N46" i="4"/>
  <c r="L60" i="4"/>
  <c r="L57" i="4"/>
  <c r="L54" i="4"/>
  <c r="L53" i="4"/>
  <c r="L49" i="4"/>
  <c r="L47" i="4"/>
  <c r="L27" i="4"/>
  <c r="M13" i="4"/>
  <c r="M48" i="4"/>
  <c r="M63" i="4"/>
  <c r="M62" i="4"/>
  <c r="M61" i="4"/>
  <c r="M60" i="4"/>
  <c r="M59" i="4"/>
  <c r="M58" i="4"/>
  <c r="M57" i="4"/>
  <c r="M56" i="4"/>
  <c r="M55" i="4"/>
  <c r="M54" i="4"/>
  <c r="M53" i="4"/>
  <c r="M52" i="4"/>
  <c r="M51" i="4"/>
  <c r="M50" i="4"/>
  <c r="M49" i="4"/>
  <c r="M47" i="4"/>
  <c r="M46" i="4"/>
  <c r="M38" i="4"/>
  <c r="M37" i="4"/>
  <c r="M36" i="4"/>
  <c r="M35" i="4"/>
  <c r="M34" i="4"/>
  <c r="O29" i="4"/>
  <c r="O28" i="4"/>
  <c r="O27" i="4"/>
  <c r="K13" i="4"/>
  <c r="M28" i="4"/>
  <c r="M27" i="4"/>
  <c r="J13" i="4"/>
  <c r="M18" i="4"/>
  <c r="L36" i="4"/>
  <c r="L35" i="4"/>
  <c r="L52" i="4"/>
  <c r="N18" i="4"/>
  <c r="L63" i="4"/>
  <c r="L61" i="4"/>
  <c r="L46" i="4"/>
  <c r="N27" i="4"/>
  <c r="L28" i="4"/>
  <c r="L38" i="4"/>
  <c r="L37" i="4"/>
  <c r="L34" i="4"/>
  <c r="W4" i="1" l="1"/>
  <c r="J49" i="4" l="1"/>
  <c r="J38" i="4"/>
  <c r="J37" i="4"/>
  <c r="J36" i="4"/>
  <c r="J35" i="4"/>
  <c r="J34" i="4"/>
  <c r="J29" i="4"/>
  <c r="J27" i="4"/>
  <c r="L18" i="4"/>
  <c r="D4" i="4"/>
  <c r="S22" i="1" l="1"/>
  <c r="U22" i="1" s="1"/>
  <c r="S21" i="1"/>
  <c r="U21" i="1" s="1"/>
  <c r="S20" i="1"/>
  <c r="U20" i="1" s="1"/>
  <c r="S19" i="1"/>
  <c r="U19" i="1" s="1"/>
  <c r="S18" i="1"/>
  <c r="U18" i="1" s="1"/>
  <c r="I8" i="1"/>
  <c r="K8" i="1" s="1"/>
  <c r="I7" i="1"/>
  <c r="K7" i="1" s="1"/>
  <c r="I6" i="1"/>
  <c r="K6" i="1" s="1"/>
  <c r="I5" i="1"/>
  <c r="K5" i="1" s="1"/>
  <c r="F8" i="1"/>
  <c r="H8" i="1" s="1"/>
  <c r="F7" i="1"/>
  <c r="H7" i="1" s="1"/>
  <c r="F6" i="1"/>
  <c r="H6" i="1" s="1"/>
  <c r="F5" i="1"/>
  <c r="H5" i="1" s="1"/>
  <c r="AB18" i="6" l="1"/>
  <c r="AB17" i="6"/>
  <c r="AB16" i="6"/>
  <c r="AB15" i="6"/>
  <c r="AB14" i="6"/>
  <c r="AB13" i="6"/>
  <c r="AB12" i="6"/>
  <c r="AC11" i="6"/>
  <c r="AB11" i="6"/>
  <c r="AF10" i="6"/>
  <c r="AE10" i="6"/>
  <c r="AD10" i="6"/>
  <c r="AC10" i="6"/>
  <c r="AB10" i="6"/>
  <c r="AF9" i="6"/>
  <c r="AE9" i="6"/>
  <c r="AD9" i="6"/>
  <c r="AC9" i="6"/>
  <c r="AF8" i="6"/>
  <c r="AE8" i="6"/>
  <c r="AD8" i="6"/>
  <c r="AC8" i="6"/>
  <c r="AF7" i="6"/>
  <c r="AE7" i="6"/>
  <c r="AD7" i="6"/>
  <c r="AC7" i="6"/>
  <c r="AF6" i="6"/>
  <c r="AE6" i="6"/>
  <c r="AD6" i="6"/>
  <c r="AC6" i="6"/>
  <c r="AB6" i="6"/>
  <c r="I10" i="6" l="1"/>
  <c r="I9" i="6"/>
  <c r="I8" i="6"/>
  <c r="I7" i="6"/>
  <c r="B3" i="6"/>
  <c r="J7" i="6" l="1"/>
  <c r="AQ18" i="6" l="1"/>
  <c r="AQ17" i="6"/>
  <c r="AQ16" i="6"/>
  <c r="AQ15" i="6"/>
  <c r="AQ14" i="6"/>
  <c r="AQ13" i="6"/>
  <c r="AQ12" i="6"/>
  <c r="AR11" i="6"/>
  <c r="AQ11" i="6"/>
  <c r="AU10" i="6"/>
  <c r="AT10" i="6"/>
  <c r="AS10" i="6"/>
  <c r="AR10" i="6"/>
  <c r="AQ10" i="6"/>
  <c r="AU9" i="6"/>
  <c r="AT9" i="6"/>
  <c r="AS9" i="6"/>
  <c r="AR9" i="6"/>
  <c r="AU8" i="6"/>
  <c r="AT8" i="6"/>
  <c r="AS8" i="6"/>
  <c r="AR8" i="6"/>
  <c r="AU7" i="6"/>
  <c r="AT7" i="6"/>
  <c r="AS7" i="6"/>
  <c r="AR7" i="6"/>
  <c r="AU6" i="6"/>
  <c r="AT6" i="6"/>
  <c r="AS6" i="6"/>
  <c r="AR6" i="6"/>
  <c r="AQ6" i="6"/>
  <c r="AL18" i="6"/>
  <c r="AL17" i="6"/>
  <c r="AL16" i="6"/>
  <c r="AL15" i="6"/>
  <c r="AL14" i="6"/>
  <c r="AL13" i="6"/>
  <c r="AL12" i="6"/>
  <c r="AM11" i="6"/>
  <c r="AL11" i="6"/>
  <c r="AP10" i="6"/>
  <c r="AO10" i="6"/>
  <c r="AN10" i="6"/>
  <c r="AM10" i="6"/>
  <c r="AL10" i="6"/>
  <c r="AP9" i="6"/>
  <c r="AO9" i="6"/>
  <c r="AN9" i="6"/>
  <c r="AM9" i="6"/>
  <c r="AP8" i="6"/>
  <c r="AO8" i="6"/>
  <c r="AN8" i="6"/>
  <c r="AM8" i="6"/>
  <c r="AP7" i="6"/>
  <c r="AO7" i="6"/>
  <c r="AN7" i="6"/>
  <c r="AM7" i="6"/>
  <c r="AP6" i="6"/>
  <c r="AO6" i="6"/>
  <c r="AN6" i="6"/>
  <c r="AM6" i="6"/>
  <c r="AL6" i="6"/>
  <c r="AG18" i="6"/>
  <c r="AG17" i="6"/>
  <c r="AG16" i="6"/>
  <c r="AG15" i="6"/>
  <c r="AG14" i="6"/>
  <c r="AG13" i="6"/>
  <c r="AG12" i="6"/>
  <c r="AH11" i="6"/>
  <c r="AG11" i="6"/>
  <c r="AK10" i="6"/>
  <c r="AJ10" i="6"/>
  <c r="AI10" i="6"/>
  <c r="AH10" i="6"/>
  <c r="AG10" i="6"/>
  <c r="AK9" i="6"/>
  <c r="AJ9" i="6"/>
  <c r="AI9" i="6"/>
  <c r="AH9" i="6"/>
  <c r="AK8" i="6"/>
  <c r="AJ8" i="6"/>
  <c r="AI8" i="6"/>
  <c r="AH8" i="6"/>
  <c r="AK7" i="6"/>
  <c r="AJ7" i="6"/>
  <c r="AI7" i="6"/>
  <c r="AH7" i="6"/>
  <c r="AK6" i="6"/>
  <c r="AJ6" i="6"/>
  <c r="AI6" i="6"/>
  <c r="AH6" i="6"/>
  <c r="AG6" i="6"/>
  <c r="A2" i="6" l="1"/>
  <c r="J8" i="6" l="1"/>
  <c r="J9" i="6"/>
  <c r="J10" i="6"/>
  <c r="P18" i="4" l="1"/>
  <c r="L13" i="4"/>
  <c r="O18" i="4" l="1"/>
  <c r="BN54" i="1" l="1"/>
  <c r="BN53" i="1"/>
  <c r="BN52" i="1"/>
  <c r="BN51" i="1"/>
  <c r="BN38" i="1"/>
  <c r="BN37" i="1"/>
  <c r="BN36" i="1"/>
  <c r="BN35" i="1"/>
  <c r="BN34" i="1"/>
  <c r="BN33" i="1"/>
  <c r="BN32" i="1"/>
  <c r="BN31" i="1"/>
  <c r="BN30" i="1"/>
  <c r="BN29" i="1"/>
  <c r="BN28" i="1"/>
  <c r="BN27" i="1"/>
  <c r="BN26" i="1"/>
  <c r="BN25" i="1"/>
  <c r="BN24" i="1"/>
  <c r="BN23" i="1"/>
  <c r="BN22" i="1"/>
  <c r="BN21" i="1"/>
  <c r="BK54" i="1"/>
  <c r="BK53" i="1"/>
  <c r="BK52" i="1"/>
  <c r="BK51" i="1"/>
  <c r="BK38" i="1"/>
  <c r="BK37" i="1"/>
  <c r="BK36" i="1"/>
  <c r="BK35" i="1"/>
  <c r="BK34" i="1"/>
  <c r="BK33" i="1"/>
  <c r="BK32" i="1"/>
  <c r="BK31" i="1"/>
  <c r="BK30" i="1"/>
  <c r="BK29" i="1"/>
  <c r="BK28" i="1"/>
  <c r="BK27" i="1"/>
  <c r="BK26" i="1"/>
  <c r="BK25" i="1"/>
  <c r="BK24" i="1"/>
  <c r="BK23" i="1"/>
  <c r="BK22" i="1"/>
  <c r="BK21" i="1"/>
  <c r="BH54" i="1"/>
  <c r="BH53" i="1"/>
  <c r="BH52" i="1"/>
  <c r="BH51" i="1"/>
  <c r="BH38" i="1"/>
  <c r="BH37" i="1"/>
  <c r="BH36" i="1"/>
  <c r="BH35" i="1"/>
  <c r="BH34" i="1"/>
  <c r="BH33" i="1"/>
  <c r="BH32" i="1"/>
  <c r="BH31" i="1"/>
  <c r="BH30" i="1"/>
  <c r="BH29" i="1"/>
  <c r="BH28" i="1"/>
  <c r="BH27" i="1"/>
  <c r="BH26" i="1"/>
  <c r="BH25" i="1"/>
  <c r="BH24" i="1"/>
  <c r="BH23" i="1"/>
  <c r="BH22" i="1"/>
  <c r="BH21" i="1"/>
  <c r="BE54" i="1"/>
  <c r="BE53" i="1"/>
  <c r="BE52" i="1"/>
  <c r="BE51" i="1"/>
  <c r="BE38" i="1"/>
  <c r="BE37" i="1"/>
  <c r="BE36" i="1"/>
  <c r="BE35" i="1"/>
  <c r="BE34" i="1"/>
  <c r="BE33" i="1"/>
  <c r="BE32" i="1"/>
  <c r="BE31" i="1"/>
  <c r="BE30" i="1"/>
  <c r="BE29" i="1"/>
  <c r="BE28" i="1"/>
  <c r="BE27" i="1"/>
  <c r="BE26" i="1"/>
  <c r="BE25" i="1"/>
  <c r="BE24" i="1"/>
  <c r="BE23" i="1"/>
  <c r="BE22" i="1"/>
  <c r="BE21" i="1"/>
  <c r="BB54" i="1"/>
  <c r="BB53" i="1"/>
  <c r="BB52" i="1"/>
  <c r="BB51" i="1"/>
  <c r="BB38" i="1"/>
  <c r="BB37" i="1"/>
  <c r="BB36" i="1"/>
  <c r="BB35" i="1"/>
  <c r="BB34" i="1"/>
  <c r="BB33" i="1"/>
  <c r="BB32" i="1"/>
  <c r="BB31" i="1"/>
  <c r="BB30" i="1"/>
  <c r="BB29" i="1"/>
  <c r="BB28" i="1"/>
  <c r="BB27" i="1"/>
  <c r="BB26" i="1"/>
  <c r="BB25" i="1"/>
  <c r="BB24" i="1"/>
  <c r="BB23" i="1"/>
  <c r="BB22" i="1"/>
  <c r="BB21" i="1"/>
  <c r="AY54" i="1"/>
  <c r="AY53" i="1"/>
  <c r="AY52" i="1"/>
  <c r="AY51" i="1"/>
  <c r="AY38" i="1"/>
  <c r="AY37" i="1"/>
  <c r="AY36" i="1"/>
  <c r="AY35" i="1"/>
  <c r="AY34" i="1"/>
  <c r="AY33" i="1"/>
  <c r="AY32" i="1"/>
  <c r="AY31" i="1"/>
  <c r="AY30" i="1"/>
  <c r="AY29" i="1"/>
  <c r="AY28" i="1"/>
  <c r="AY27" i="1"/>
  <c r="AY26" i="1"/>
  <c r="AY25" i="1"/>
  <c r="AY24" i="1"/>
  <c r="AY23" i="1"/>
  <c r="AY22" i="1"/>
  <c r="AY21" i="1"/>
  <c r="AV54" i="1"/>
  <c r="AV53" i="1"/>
  <c r="AV52" i="1"/>
  <c r="AV51" i="1"/>
  <c r="AV38" i="1"/>
  <c r="AV37" i="1"/>
  <c r="AV36" i="1"/>
  <c r="AV35" i="1"/>
  <c r="AV34" i="1"/>
  <c r="AV33" i="1"/>
  <c r="AV32" i="1"/>
  <c r="AV31" i="1"/>
  <c r="AV30" i="1"/>
  <c r="AV29" i="1"/>
  <c r="AV28" i="1"/>
  <c r="AV27" i="1"/>
  <c r="AV26" i="1"/>
  <c r="AV25" i="1"/>
  <c r="AV24" i="1"/>
  <c r="AV23" i="1"/>
  <c r="AV22" i="1"/>
  <c r="AV21" i="1"/>
  <c r="AS54" i="1"/>
  <c r="AS53" i="1"/>
  <c r="AS52" i="1"/>
  <c r="AS51" i="1"/>
  <c r="AS38" i="1"/>
  <c r="AS37" i="1"/>
  <c r="AS36" i="1"/>
  <c r="AS35" i="1"/>
  <c r="AS34" i="1"/>
  <c r="AS33" i="1"/>
  <c r="AS32" i="1"/>
  <c r="AS31" i="1"/>
  <c r="AS30" i="1"/>
  <c r="AS29" i="1"/>
  <c r="AS28" i="1"/>
  <c r="AS27" i="1"/>
  <c r="AS26" i="1"/>
  <c r="AS25" i="1"/>
  <c r="AS24" i="1"/>
  <c r="AS23" i="1"/>
  <c r="AS22" i="1"/>
  <c r="AS21" i="1"/>
  <c r="AP54" i="1"/>
  <c r="AP53" i="1"/>
  <c r="AP52" i="1"/>
  <c r="AP51" i="1"/>
  <c r="AP38" i="1"/>
  <c r="AP37" i="1"/>
  <c r="AP36" i="1"/>
  <c r="AP35" i="1"/>
  <c r="AP34" i="1"/>
  <c r="AP33" i="1"/>
  <c r="AP32" i="1"/>
  <c r="AP31" i="1"/>
  <c r="AP30" i="1"/>
  <c r="AP29" i="1"/>
  <c r="AP28" i="1"/>
  <c r="AP27" i="1"/>
  <c r="AP26" i="1"/>
  <c r="AP25" i="1"/>
  <c r="AP24" i="1"/>
  <c r="AP23" i="1"/>
  <c r="AP22" i="1"/>
  <c r="AP21" i="1"/>
  <c r="AM54" i="1"/>
  <c r="AM53" i="1"/>
  <c r="AM52" i="1"/>
  <c r="AM51" i="1"/>
  <c r="AM38" i="1"/>
  <c r="AM37" i="1"/>
  <c r="AM36" i="1"/>
  <c r="AM35" i="1"/>
  <c r="AM34" i="1"/>
  <c r="AM33" i="1"/>
  <c r="AM32" i="1"/>
  <c r="AM31" i="1"/>
  <c r="AM30" i="1"/>
  <c r="AM29" i="1"/>
  <c r="AM28" i="1"/>
  <c r="AM27" i="1"/>
  <c r="AM26" i="1"/>
  <c r="AM25" i="1"/>
  <c r="AM24" i="1"/>
  <c r="AM23" i="1"/>
  <c r="AM22" i="1"/>
  <c r="AM21" i="1"/>
  <c r="N36" i="4" l="1"/>
  <c r="N35" i="4"/>
  <c r="N38" i="4"/>
  <c r="N37" i="4"/>
  <c r="N34" i="4"/>
  <c r="P62" i="4"/>
  <c r="P60" i="4"/>
  <c r="P59" i="4"/>
  <c r="P58" i="4"/>
  <c r="P57" i="4"/>
  <c r="P56" i="4"/>
  <c r="P55" i="4"/>
  <c r="P54" i="4"/>
  <c r="P53" i="4"/>
  <c r="P52" i="4"/>
  <c r="P51" i="4"/>
  <c r="P50" i="4"/>
  <c r="P49" i="4"/>
  <c r="P63" i="4"/>
  <c r="P61" i="4"/>
  <c r="P48" i="4"/>
  <c r="P47" i="4"/>
  <c r="P46" i="4"/>
  <c r="Q35" i="4" l="1"/>
  <c r="Q36" i="4"/>
  <c r="Q37" i="4"/>
  <c r="Q38" i="4"/>
  <c r="Q34" i="4"/>
  <c r="G18" i="4" l="1"/>
  <c r="G19" i="4" s="1"/>
  <c r="H9" i="4"/>
  <c r="H8" i="4"/>
  <c r="G13" i="4" s="1"/>
  <c r="H7" i="4"/>
  <c r="H6" i="4"/>
  <c r="C14" i="4" s="1"/>
  <c r="H5" i="4"/>
  <c r="H4" i="4"/>
  <c r="X80" i="4" l="1"/>
  <c r="G23" i="4" s="1"/>
  <c r="I36" i="4"/>
  <c r="I35" i="4"/>
  <c r="K48" i="4"/>
  <c r="H48" i="4" s="1"/>
  <c r="K52" i="4"/>
  <c r="H52" i="4" s="1"/>
  <c r="K58" i="4"/>
  <c r="H58" i="4" s="1"/>
  <c r="K51" i="4"/>
  <c r="H51" i="4" s="1"/>
  <c r="K50" i="4"/>
  <c r="H50" i="4" s="1"/>
  <c r="K35" i="4"/>
  <c r="G35" i="4" s="1"/>
  <c r="K38" i="4"/>
  <c r="G38" i="4" s="1"/>
  <c r="K61" i="4"/>
  <c r="H61" i="4" s="1"/>
  <c r="K46" i="4"/>
  <c r="H46" i="4" s="1"/>
  <c r="K63" i="4"/>
  <c r="H63" i="4" s="1"/>
  <c r="K60" i="4"/>
  <c r="H60" i="4" s="1"/>
  <c r="K57" i="4"/>
  <c r="H57" i="4" s="1"/>
  <c r="K54" i="4"/>
  <c r="H54" i="4" s="1"/>
  <c r="K53" i="4"/>
  <c r="H53" i="4" s="1"/>
  <c r="K49" i="4"/>
  <c r="H49" i="4" s="1"/>
  <c r="K47" i="4"/>
  <c r="H47" i="4" s="1"/>
  <c r="K29" i="4"/>
  <c r="H29" i="4" s="1"/>
  <c r="K62" i="4"/>
  <c r="H62" i="4" s="1"/>
  <c r="K59" i="4"/>
  <c r="H59" i="4" s="1"/>
  <c r="K56" i="4"/>
  <c r="H56" i="4" s="1"/>
  <c r="K55" i="4"/>
  <c r="H55" i="4" s="1"/>
  <c r="C4" i="4"/>
  <c r="K34" i="4"/>
  <c r="G34" i="4" s="1"/>
  <c r="K27" i="4"/>
  <c r="H27" i="4" s="1"/>
  <c r="K28" i="4"/>
  <c r="H28" i="4" s="1"/>
  <c r="K36" i="4"/>
  <c r="G36" i="4" s="1"/>
  <c r="K37" i="4"/>
  <c r="G37" i="4" s="1"/>
  <c r="U9" i="1" l="1"/>
  <c r="U8" i="1"/>
  <c r="U7" i="1"/>
  <c r="P5" i="1" s="1"/>
  <c r="U6" i="1"/>
  <c r="U5" i="1"/>
  <c r="U4" i="1"/>
  <c r="X4" i="1" l="1"/>
  <c r="D36" i="1" l="1"/>
  <c r="D12" i="1"/>
  <c r="D33" i="1"/>
  <c r="D11" i="1"/>
  <c r="D29" i="1"/>
  <c r="D25" i="1"/>
  <c r="D23" i="1"/>
  <c r="D20" i="1"/>
  <c r="D19" i="1"/>
  <c r="D15" i="1"/>
</calcChain>
</file>

<file path=xl/comments1.xml><?xml version="1.0" encoding="utf-8"?>
<comments xmlns="http://schemas.openxmlformats.org/spreadsheetml/2006/main">
  <authors>
    <author>Author</author>
  </authors>
  <commentList>
    <comment ref="F103" authorId="0" shapeId="0">
      <text>
        <r>
          <rPr>
            <b/>
            <sz val="9"/>
            <color indexed="81"/>
            <rFont val="Tahoma"/>
            <family val="2"/>
          </rPr>
          <t>Author:</t>
        </r>
        <r>
          <rPr>
            <sz val="9"/>
            <color indexed="81"/>
            <rFont val="Tahoma"/>
            <family val="2"/>
          </rPr>
          <t xml:space="preserve">
Gave 200 gp as collateral for the ship</t>
        </r>
      </text>
    </comment>
  </commentList>
</comments>
</file>

<file path=xl/comments2.xml><?xml version="1.0" encoding="utf-8"?>
<comments xmlns="http://schemas.openxmlformats.org/spreadsheetml/2006/main">
  <authors>
    <author>Author</author>
  </authors>
  <commentList>
    <comment ref="G12" authorId="0" shapeId="0">
      <text>
        <r>
          <rPr>
            <b/>
            <sz val="9"/>
            <color indexed="81"/>
            <rFont val="Tahoma"/>
            <family val="2"/>
          </rPr>
          <t>Author:</t>
        </r>
        <r>
          <rPr>
            <sz val="9"/>
            <color indexed="81"/>
            <rFont val="Tahoma"/>
            <family val="2"/>
          </rPr>
          <t xml:space="preserve">
Arogas 2x</t>
        </r>
      </text>
    </comment>
    <comment ref="G19" authorId="0" shapeId="0">
      <text>
        <r>
          <rPr>
            <b/>
            <sz val="9"/>
            <color indexed="81"/>
            <rFont val="Tahoma"/>
            <family val="2"/>
          </rPr>
          <t>Author:</t>
        </r>
        <r>
          <rPr>
            <sz val="9"/>
            <color indexed="81"/>
            <rFont val="Tahoma"/>
            <family val="2"/>
          </rPr>
          <t xml:space="preserve">
Arogas 2x</t>
        </r>
      </text>
    </comment>
    <comment ref="G35" authorId="0" shapeId="0">
      <text>
        <r>
          <rPr>
            <b/>
            <sz val="9"/>
            <color indexed="81"/>
            <rFont val="Tahoma"/>
            <family val="2"/>
          </rPr>
          <t>Author:</t>
        </r>
        <r>
          <rPr>
            <sz val="9"/>
            <color indexed="81"/>
            <rFont val="Tahoma"/>
            <family val="2"/>
          </rPr>
          <t xml:space="preserve">
Atreas x1</t>
        </r>
      </text>
    </comment>
  </commentList>
</comments>
</file>

<file path=xl/comments3.xml><?xml version="1.0" encoding="utf-8"?>
<comments xmlns="http://schemas.openxmlformats.org/spreadsheetml/2006/main">
  <authors>
    <author>Author</author>
  </authors>
  <commentList>
    <comment ref="C3" authorId="0" shapeId="0">
      <text>
        <r>
          <rPr>
            <b/>
            <sz val="9"/>
            <color indexed="81"/>
            <rFont val="Tahoma"/>
            <family val="2"/>
            <charset val="161"/>
          </rPr>
          <t>Comment:</t>
        </r>
        <r>
          <rPr>
            <sz val="9"/>
            <color indexed="81"/>
            <rFont val="Tahoma"/>
            <family val="2"/>
            <charset val="161"/>
          </rPr>
          <t xml:space="preserve">
Doesn't really work because he'll have -2 against your poison but you have a multiple attack penalty so you probably won't hit him and he is flat-footed until start of your next turn so you won't have the chance to hit with no attack penalty</t>
        </r>
      </text>
    </comment>
    <comment ref="C6" authorId="0" shapeId="0">
      <text>
        <r>
          <rPr>
            <b/>
            <sz val="9"/>
            <color indexed="81"/>
            <rFont val="Tahoma"/>
            <family val="2"/>
          </rPr>
          <t>Comment:</t>
        </r>
        <r>
          <rPr>
            <sz val="9"/>
            <color indexed="81"/>
            <rFont val="Tahoma"/>
            <family val="2"/>
          </rPr>
          <t xml:space="preserve">
That's a build not a strategy</t>
        </r>
      </text>
    </comment>
  </commentList>
</comments>
</file>

<file path=xl/sharedStrings.xml><?xml version="1.0" encoding="utf-8"?>
<sst xmlns="http://schemas.openxmlformats.org/spreadsheetml/2006/main" count="643" uniqueCount="400">
  <si>
    <t>Level</t>
  </si>
  <si>
    <t>Class DC</t>
  </si>
  <si>
    <t>Alchemical Proficiency Bonus</t>
  </si>
  <si>
    <t>Abilities</t>
  </si>
  <si>
    <t>Ability Mod</t>
  </si>
  <si>
    <t>Str</t>
  </si>
  <si>
    <t>Dex</t>
  </si>
  <si>
    <t>Con</t>
  </si>
  <si>
    <t>Int</t>
  </si>
  <si>
    <t>Wis</t>
  </si>
  <si>
    <t>Cha</t>
  </si>
  <si>
    <t>HP</t>
  </si>
  <si>
    <t>Perception</t>
  </si>
  <si>
    <t>Item Bonus</t>
  </si>
  <si>
    <t>Stat. Bonus</t>
  </si>
  <si>
    <t>Stat. Pen.</t>
  </si>
  <si>
    <t>Mutagen Drawback</t>
  </si>
  <si>
    <t>Circ. Bonus</t>
  </si>
  <si>
    <t>Prof. Bonus</t>
  </si>
  <si>
    <t>Temporary</t>
  </si>
  <si>
    <t>Current</t>
  </si>
  <si>
    <t>Max</t>
  </si>
  <si>
    <t>Temp Max</t>
  </si>
  <si>
    <t>AC</t>
  </si>
  <si>
    <t>Armor</t>
  </si>
  <si>
    <t>Dex Mod</t>
  </si>
  <si>
    <t>Prof</t>
  </si>
  <si>
    <t>Circ. Pen.</t>
  </si>
  <si>
    <t>Speed</t>
  </si>
  <si>
    <t>ft</t>
  </si>
  <si>
    <t>Save Bonus</t>
  </si>
  <si>
    <t>Prof. Bon.</t>
  </si>
  <si>
    <t>Abil. Bon.</t>
  </si>
  <si>
    <t>Item Bon.</t>
  </si>
  <si>
    <t>Stat Pen.</t>
  </si>
  <si>
    <t>Fort</t>
  </si>
  <si>
    <t>Conditions &amp; Effects</t>
  </si>
  <si>
    <t>Refl</t>
  </si>
  <si>
    <t>Blinded</t>
  </si>
  <si>
    <t>Will</t>
  </si>
  <si>
    <t>Clumsy -</t>
  </si>
  <si>
    <t>Dazzled</t>
  </si>
  <si>
    <t>Poison on Weapon</t>
  </si>
  <si>
    <t>Weapon</t>
  </si>
  <si>
    <t>Attack</t>
  </si>
  <si>
    <t>Damage</t>
  </si>
  <si>
    <t>Mut. Draw.</t>
  </si>
  <si>
    <t>Mul Att Pen</t>
  </si>
  <si>
    <t>Crossbow +2 Greater Striking/Fire</t>
  </si>
  <si>
    <t>3d10</t>
  </si>
  <si>
    <t>4 +1d6</t>
  </si>
  <si>
    <t>Deafened</t>
  </si>
  <si>
    <t>Unarmed (Bestial Claw) +2 GS Frost</t>
  </si>
  <si>
    <t>3d8</t>
  </si>
  <si>
    <t>Unarmed (Bestial Bite) +2 GS Frost</t>
  </si>
  <si>
    <t>Drained -</t>
  </si>
  <si>
    <t>Bombs (Greater)</t>
  </si>
  <si>
    <t>*</t>
  </si>
  <si>
    <t>Bombs (Moderate)</t>
  </si>
  <si>
    <t>Fatigued</t>
  </si>
  <si>
    <t>* Depending on which Bomb</t>
  </si>
  <si>
    <t>Frightened -</t>
  </si>
  <si>
    <t>Enfeebled -</t>
  </si>
  <si>
    <t xml:space="preserve"> </t>
  </si>
  <si>
    <t>Prone</t>
  </si>
  <si>
    <t>Feats</t>
  </si>
  <si>
    <t>Skills</t>
  </si>
  <si>
    <t>Skill Bonus</t>
  </si>
  <si>
    <t>Prof. Bon</t>
  </si>
  <si>
    <t>Abi. Bon.</t>
  </si>
  <si>
    <t>Stat. Bon</t>
  </si>
  <si>
    <t>Circ. Bon</t>
  </si>
  <si>
    <t>Stat. Pen</t>
  </si>
  <si>
    <t>Arm. Ch. Pen.</t>
  </si>
  <si>
    <t>Alchemical Crafting</t>
  </si>
  <si>
    <t>Acrobatics</t>
  </si>
  <si>
    <t>Flat-Footed</t>
  </si>
  <si>
    <t>Dwarven Lore</t>
  </si>
  <si>
    <t>Arcana</t>
  </si>
  <si>
    <t>Quick Bomber</t>
  </si>
  <si>
    <t>Athletics</t>
  </si>
  <si>
    <t>Stupefied -</t>
  </si>
  <si>
    <t>Specialty Crafting</t>
  </si>
  <si>
    <t>Crafting</t>
  </si>
  <si>
    <t>Archer Dedication</t>
  </si>
  <si>
    <t>Deception</t>
  </si>
  <si>
    <t>Bestial Mutagen - 1 AC</t>
  </si>
  <si>
    <t>Quick Repair</t>
  </si>
  <si>
    <t>Diplomacy</t>
  </si>
  <si>
    <t>Toughness</t>
  </si>
  <si>
    <t>Indimidation</t>
  </si>
  <si>
    <t>Drakeheart Mutagen</t>
  </si>
  <si>
    <t>Crafter's Appraisal</t>
  </si>
  <si>
    <t>Lore:Dwarven</t>
  </si>
  <si>
    <t>Enduring Alchemy</t>
  </si>
  <si>
    <t>Lore:Engineering</t>
  </si>
  <si>
    <t>Bravo's Brew</t>
  </si>
  <si>
    <t>Dwarven Doughtiness</t>
  </si>
  <si>
    <t>Medicine</t>
  </si>
  <si>
    <t>Assurance (Stealth)</t>
  </si>
  <si>
    <t>Nature</t>
  </si>
  <si>
    <t>Heroism</t>
  </si>
  <si>
    <t>Crossbow Terror</t>
  </si>
  <si>
    <t>Occultism</t>
  </si>
  <si>
    <t>Canny Acumen (Will)</t>
  </si>
  <si>
    <t>Performance</t>
  </si>
  <si>
    <t>Bestial Mutagen - 2 AC</t>
  </si>
  <si>
    <t>Magical Crafting</t>
  </si>
  <si>
    <t>Religion</t>
  </si>
  <si>
    <t>Sticky Poison</t>
  </si>
  <si>
    <t>Society</t>
  </si>
  <si>
    <t>Telluric Power</t>
  </si>
  <si>
    <t>Heroes' Call</t>
  </si>
  <si>
    <t>Stealth</t>
  </si>
  <si>
    <t>Inventor</t>
  </si>
  <si>
    <t>Survival</t>
  </si>
  <si>
    <t>Juggernaut Mutagen</t>
  </si>
  <si>
    <t>Pinpoint Poisoner</t>
  </si>
  <si>
    <t>Thievery</t>
  </si>
  <si>
    <t>Fleet</t>
  </si>
  <si>
    <t>Quicksilver Mutagen</t>
  </si>
  <si>
    <t>Impeccable Crafter</t>
  </si>
  <si>
    <t>Persistent Damage</t>
  </si>
  <si>
    <t>Combine Elixirs</t>
  </si>
  <si>
    <t>Type</t>
  </si>
  <si>
    <t>Sickened -</t>
  </si>
  <si>
    <t>Arcane Sense</t>
  </si>
  <si>
    <t>Take Cover</t>
  </si>
  <si>
    <t>Feral Mutagen</t>
  </si>
  <si>
    <t>Cognitive Mutagen (Greater)</t>
  </si>
  <si>
    <t>Unconscious</t>
  </si>
  <si>
    <t>Wounded</t>
  </si>
  <si>
    <t>Magic items Formulae</t>
  </si>
  <si>
    <t>Name</t>
  </si>
  <si>
    <t>Description</t>
  </si>
  <si>
    <t>Dying</t>
  </si>
  <si>
    <t>Rune of Weapon Potency + 1</t>
  </si>
  <si>
    <t>Owlbear Claw</t>
  </si>
  <si>
    <t>Activate weapon's crit. Specialization</t>
  </si>
  <si>
    <t>Doomed</t>
  </si>
  <si>
    <t>Gecko Potion</t>
  </si>
  <si>
    <t>+ 1 Climb, Palm on Object and Refl agai. Disarm</t>
  </si>
  <si>
    <t>Healing Potion (Minor)</t>
  </si>
  <si>
    <t>Encumbered</t>
  </si>
  <si>
    <t>Mistform</t>
  </si>
  <si>
    <t>Cheetah's Elixir</t>
  </si>
  <si>
    <t>Gear</t>
  </si>
  <si>
    <t>Bulk</t>
  </si>
  <si>
    <t>Cat's Eye Elixir</t>
  </si>
  <si>
    <t>Crossbow +2 Greater Striking</t>
  </si>
  <si>
    <t>Studded Leather +2 Greater Res.</t>
  </si>
  <si>
    <t>Sp. Pen.</t>
  </si>
  <si>
    <t>Alchemist's Tools</t>
  </si>
  <si>
    <t>Adventurer's Pack</t>
  </si>
  <si>
    <t>Alchemist Lab</t>
  </si>
  <si>
    <t>Bolts</t>
  </si>
  <si>
    <t>Handwraps of Mighty Blows</t>
  </si>
  <si>
    <t>+2 Greater Striking Frost</t>
  </si>
  <si>
    <t>Potion of Quickness</t>
  </si>
  <si>
    <t>Ring of Eldritch Power</t>
  </si>
  <si>
    <t>+1 to all DCs</t>
  </si>
  <si>
    <t>Total</t>
  </si>
  <si>
    <t>Money</t>
  </si>
  <si>
    <t>pp</t>
  </si>
  <si>
    <t>gp</t>
  </si>
  <si>
    <t>sp</t>
  </si>
  <si>
    <t>cp</t>
  </si>
  <si>
    <t>Special Abilities</t>
  </si>
  <si>
    <t>Poison Resistance</t>
  </si>
  <si>
    <t>Darkvision</t>
  </si>
  <si>
    <t>Powerful Alchemy</t>
  </si>
  <si>
    <t>Double Brew</t>
  </si>
  <si>
    <t>Juggetnaut</t>
  </si>
  <si>
    <t>Alchemical Alacrity</t>
  </si>
  <si>
    <t>Evasion</t>
  </si>
  <si>
    <t>Folmulae List</t>
  </si>
  <si>
    <t>Crafted</t>
  </si>
  <si>
    <t>Used</t>
  </si>
  <si>
    <t>Remaining</t>
  </si>
  <si>
    <t>Crafted (Powerful Alchemy)</t>
  </si>
  <si>
    <t>Used (Powerful Alchemy)</t>
  </si>
  <si>
    <t>Remaining (Powerful Alchemy)</t>
  </si>
  <si>
    <t>Advanced Alchemy</t>
  </si>
  <si>
    <t>Quick Alchemy</t>
  </si>
  <si>
    <t>Quick Alchemy (Powerful Alchemy)</t>
  </si>
  <si>
    <t>Perpetual Infusions/Potency</t>
  </si>
  <si>
    <t>Batches of Infused Reagents</t>
  </si>
  <si>
    <t>Alchemy Prof Bonus</t>
  </si>
  <si>
    <t>CURRENT ROUND</t>
  </si>
  <si>
    <t>ROUND</t>
  </si>
  <si>
    <t>STARTED</t>
  </si>
  <si>
    <t>ENDED</t>
  </si>
  <si>
    <t>Stick round</t>
  </si>
  <si>
    <t>Cheetah</t>
  </si>
  <si>
    <t>Cat's Eye</t>
  </si>
  <si>
    <t>Item</t>
  </si>
  <si>
    <t>DC</t>
  </si>
  <si>
    <t>Bottled Lightning (Lesser)</t>
  </si>
  <si>
    <t>-</t>
  </si>
  <si>
    <t>Bomb</t>
  </si>
  <si>
    <t>Thunderstone (Lesser)</t>
  </si>
  <si>
    <t>Leaper's Elixir (Lesser)</t>
  </si>
  <si>
    <t>Elixir</t>
  </si>
  <si>
    <t>Cheetah's Elixir (Lesser)</t>
  </si>
  <si>
    <t>Antidote (Lesser)</t>
  </si>
  <si>
    <t>Antiplague (Lesser)</t>
  </si>
  <si>
    <t>Arsenic</t>
  </si>
  <si>
    <t>Poison</t>
  </si>
  <si>
    <t>Giant Centipede Venom</t>
  </si>
  <si>
    <t>Comprehension Elixir (Lesser)</t>
  </si>
  <si>
    <t>Combined Elixirs List</t>
  </si>
  <si>
    <t>Quick Alchemy (Combined Elixirs)</t>
  </si>
  <si>
    <t>Graveroot</t>
  </si>
  <si>
    <t>Spiderfoot Brew (Lesser)</t>
  </si>
  <si>
    <t>Sinew-Shock Serum (Moderate)</t>
  </si>
  <si>
    <t>Focus Cathartic (Moderate)</t>
  </si>
  <si>
    <t>Elixir of Life (Mod) x 2</t>
  </si>
  <si>
    <t>Hunting Spider Venom</t>
  </si>
  <si>
    <t>Elixir of Life (Mod) +Ant(L)</t>
  </si>
  <si>
    <t>Cytillesh Oil</t>
  </si>
  <si>
    <t>Bestial Mutagen + Mistform</t>
  </si>
  <si>
    <t>Round</t>
  </si>
  <si>
    <t>Number</t>
  </si>
  <si>
    <t>Active</t>
  </si>
  <si>
    <t>Eagle Eye Elixir (Moderate)</t>
  </si>
  <si>
    <t>Quicksilver Mut. + Mistform</t>
  </si>
  <si>
    <t>Silversheen</t>
  </si>
  <si>
    <t>Tool</t>
  </si>
  <si>
    <t>Giant Wasp Venom</t>
  </si>
  <si>
    <t>Mistform Elixir (Moderate)</t>
  </si>
  <si>
    <t>Wyvern Poison</t>
  </si>
  <si>
    <t>Cold Comfort (Lesser)</t>
  </si>
  <si>
    <t>Cold Iron Blanch (Moderate)</t>
  </si>
  <si>
    <t>Smokestick (Greater)</t>
  </si>
  <si>
    <t>Wolfsbane</t>
  </si>
  <si>
    <t>Mutagen</t>
  </si>
  <si>
    <t>Juggernaut Mutagen (Greater)</t>
  </si>
  <si>
    <t>Quicksilver Mutagen (Greater)</t>
  </si>
  <si>
    <t>Mage Bane</t>
  </si>
  <si>
    <t>Drakeheart Mutagen (Greater)</t>
  </si>
  <si>
    <t>Elixir of Life ( Greater)</t>
  </si>
  <si>
    <t>Purple Worm Poison</t>
  </si>
  <si>
    <t>Bestial Mutagen (Greater)</t>
  </si>
  <si>
    <t>Death Knell Powder</t>
  </si>
  <si>
    <t>Mindfog Mist</t>
  </si>
  <si>
    <t>Eldritch Flare</t>
  </si>
  <si>
    <t>Opponent</t>
  </si>
  <si>
    <t>Stage</t>
  </si>
  <si>
    <t>Index</t>
  </si>
  <si>
    <t>Onset</t>
  </si>
  <si>
    <t>Duration</t>
  </si>
  <si>
    <t>Stage 1</t>
  </si>
  <si>
    <t>Stage 2</t>
  </si>
  <si>
    <t>Stage 3</t>
  </si>
  <si>
    <t>Giant Wasp Venom/Wyvern Poison</t>
  </si>
  <si>
    <t>7d6 and clumsy-1</t>
  </si>
  <si>
    <t>9d6 and clumsy-2</t>
  </si>
  <si>
    <t>12d6 and clumsy-2</t>
  </si>
  <si>
    <t>Hunting Spider/Giant Centipede Venom</t>
  </si>
  <si>
    <t>1d10 +1d6, flat-footed</t>
  </si>
  <si>
    <t>1d12 +1d8, flat-footed, clumsy-1</t>
  </si>
  <si>
    <t>2d6 + 1d12, flat-footed, clumsy-2</t>
  </si>
  <si>
    <t>Graveroot/Wyvern Poison</t>
  </si>
  <si>
    <t>1d10+5d6</t>
  </si>
  <si>
    <t>1d12+6d6, stupefied-1</t>
  </si>
  <si>
    <t>10d6 and stupefied-2</t>
  </si>
  <si>
    <t>1d4 and sickened-1</t>
  </si>
  <si>
    <t>1d6 and sickened-2</t>
  </si>
  <si>
    <t>2d6 and sickened-3</t>
  </si>
  <si>
    <t>1d6</t>
  </si>
  <si>
    <t>1d8 and flat-footed</t>
  </si>
  <si>
    <t>1d12, clumsy-1 and flat-footed</t>
  </si>
  <si>
    <t>1d10</t>
  </si>
  <si>
    <t>1d12 and stupefied-1</t>
  </si>
  <si>
    <t>2d6 and stupefied-2</t>
  </si>
  <si>
    <t>1d10 and flat-footed</t>
  </si>
  <si>
    <t>1d12 and clumsy-1</t>
  </si>
  <si>
    <t>2d6, clumsy-2 and flat-footed</t>
  </si>
  <si>
    <t>1d12</t>
  </si>
  <si>
    <t>2d10</t>
  </si>
  <si>
    <t>2d6 and clumsy-1</t>
  </si>
  <si>
    <t>3d6 and clumsy-2</t>
  </si>
  <si>
    <t>4d6 and clumsy-2</t>
  </si>
  <si>
    <t>5d6</t>
  </si>
  <si>
    <t>6d6</t>
  </si>
  <si>
    <t>8d6</t>
  </si>
  <si>
    <t>12d6</t>
  </si>
  <si>
    <t>16d6</t>
  </si>
  <si>
    <t>20d6 Cures Lycanthropy</t>
  </si>
  <si>
    <t>2d6 mental and stupefied-2</t>
  </si>
  <si>
    <t>3d6 mental and stupefied-3</t>
  </si>
  <si>
    <t>4d6 mental and stupefied-4</t>
  </si>
  <si>
    <t>5d6 and enfeebled-2</t>
  </si>
  <si>
    <t>6d6 and enfeebled-2</t>
  </si>
  <si>
    <t>8d6 and enfeebled-2</t>
  </si>
  <si>
    <t>7d6</t>
  </si>
  <si>
    <t>9d6</t>
  </si>
  <si>
    <t>stupefied-2</t>
  </si>
  <si>
    <t>confused and stupefied-3</t>
  </si>
  <si>
    <t>confused and stupefied-4</t>
  </si>
  <si>
    <t>10d6</t>
  </si>
  <si>
    <t>Proficiency</t>
  </si>
  <si>
    <t>Master</t>
  </si>
  <si>
    <t>Task Level</t>
  </si>
  <si>
    <t>Failed</t>
  </si>
  <si>
    <t>Trained</t>
  </si>
  <si>
    <t>Expert</t>
  </si>
  <si>
    <t>Legendary</t>
  </si>
  <si>
    <t>Item name</t>
  </si>
  <si>
    <t>Progress (Days)</t>
  </si>
  <si>
    <t>Extra Days</t>
  </si>
  <si>
    <t>Crafting Check</t>
  </si>
  <si>
    <t>Cost</t>
  </si>
  <si>
    <t>Paid</t>
  </si>
  <si>
    <t>Pending</t>
  </si>
  <si>
    <t>Fail Return</t>
  </si>
  <si>
    <t>Completed</t>
  </si>
  <si>
    <t>20 (critical success)</t>
  </si>
  <si>
    <t>—</t>
  </si>
  <si>
    <t>Bottled Lightning (Greater) + Pinpoint Poisoner</t>
  </si>
  <si>
    <t>Potion of Quickness + Quicksilver + Heroism + Move</t>
  </si>
  <si>
    <t>Potion of Quickness + Bestial &amp; Mistform</t>
  </si>
  <si>
    <t>Combine Elixirs + Eternal Elixir + Improbable Elixirs</t>
  </si>
  <si>
    <t>Details</t>
  </si>
  <si>
    <t>+ 1 Crafting for Alchemical Elixirs</t>
  </si>
  <si>
    <t>You take 1 minute to repair an item</t>
  </si>
  <si>
    <t>Use Crafting to identify magical items</t>
  </si>
  <si>
    <t>Calculated Splash</t>
  </si>
  <si>
    <t>Put Intelligence modifier in splash damage</t>
  </si>
  <si>
    <t>At the end of your turn reduce frightened by 2 instead of 1</t>
  </si>
  <si>
    <t>Whenever you roll success on item from Specialty Crafting you get ctitical success</t>
  </si>
  <si>
    <t>Cast Heroism once per day. If you have half or fewer HP gain HP twice your level</t>
  </si>
  <si>
    <t>Heroism: +1 Attack, Perception, Saves and skill checks</t>
  </si>
  <si>
    <t>Cast Detect Magic at will</t>
  </si>
  <si>
    <t>See Bestial Mutagen below</t>
  </si>
  <si>
    <t>If both you and opponent are standing on earth or stone melle Strike gets 1 extra dice</t>
  </si>
  <si>
    <t>Alchemical items</t>
  </si>
  <si>
    <t>Bottled Lightning (Greater)</t>
  </si>
  <si>
    <t>+ 2 item bonus, 2d6 electricity + 2 splash, flat-footed</t>
  </si>
  <si>
    <t>1d4 sonic damage + 2 splash</t>
  </si>
  <si>
    <t>Antidote (Greater)</t>
  </si>
  <si>
    <t>+ 4 Fort against poisons for 6 hours</t>
  </si>
  <si>
    <t>+ 2 Fort against diseases for 24 hours</t>
  </si>
  <si>
    <r>
      <rPr>
        <b/>
        <sz val="11"/>
        <color theme="1"/>
        <rFont val="Calibri"/>
        <family val="2"/>
        <scheme val="minor"/>
      </rPr>
      <t>Onset</t>
    </r>
    <r>
      <rPr>
        <sz val="11"/>
        <color theme="1"/>
        <rFont val="Calibri"/>
        <family val="2"/>
        <scheme val="minor"/>
      </rPr>
      <t xml:space="preserve">: 10 min, </t>
    </r>
    <r>
      <rPr>
        <b/>
        <sz val="11"/>
        <color theme="1"/>
        <rFont val="Calibri"/>
        <family val="2"/>
        <scheme val="minor"/>
      </rPr>
      <t>Duration</t>
    </r>
    <r>
      <rPr>
        <sz val="11"/>
        <color theme="1"/>
        <rFont val="Calibri"/>
        <family val="2"/>
        <scheme val="minor"/>
      </rPr>
      <t xml:space="preserve">: 5 min, </t>
    </r>
    <r>
      <rPr>
        <b/>
        <sz val="11"/>
        <color theme="1"/>
        <rFont val="Calibri"/>
        <family val="2"/>
        <scheme val="minor"/>
      </rPr>
      <t>Stage 1</t>
    </r>
    <r>
      <rPr>
        <sz val="11"/>
        <color theme="1"/>
        <rFont val="Calibri"/>
        <family val="2"/>
        <scheme val="minor"/>
      </rPr>
      <t xml:space="preserve">: 1d4 and sickened-1 (1 min), </t>
    </r>
    <r>
      <rPr>
        <b/>
        <sz val="11"/>
        <color theme="1"/>
        <rFont val="Calibri"/>
        <family val="2"/>
        <scheme val="minor"/>
      </rPr>
      <t>Stage 2</t>
    </r>
    <r>
      <rPr>
        <sz val="11"/>
        <color theme="1"/>
        <rFont val="Calibri"/>
        <family val="2"/>
        <scheme val="minor"/>
      </rPr>
      <t xml:space="preserve">: 1d6 and sickened-2 (1 min), </t>
    </r>
    <r>
      <rPr>
        <b/>
        <sz val="11"/>
        <color theme="1"/>
        <rFont val="Calibri"/>
        <family val="2"/>
        <scheme val="minor"/>
      </rPr>
      <t>Stage 3</t>
    </r>
    <r>
      <rPr>
        <sz val="11"/>
        <color theme="1"/>
        <rFont val="Calibri"/>
        <family val="2"/>
        <scheme val="minor"/>
      </rPr>
      <t>: 2d6 and sickened-3 (1 min)</t>
    </r>
  </si>
  <si>
    <t>Ingested</t>
  </si>
  <si>
    <r>
      <rPr>
        <b/>
        <sz val="11"/>
        <color theme="1"/>
        <rFont val="Calibri"/>
        <family val="2"/>
        <scheme val="minor"/>
      </rPr>
      <t>Duration</t>
    </r>
    <r>
      <rPr>
        <sz val="11"/>
        <color theme="1"/>
        <rFont val="Calibri"/>
        <family val="2"/>
        <scheme val="minor"/>
      </rPr>
      <t xml:space="preserve">: 5 rounds, </t>
    </r>
    <r>
      <rPr>
        <b/>
        <sz val="11"/>
        <color theme="1"/>
        <rFont val="Calibri"/>
        <family val="2"/>
        <scheme val="minor"/>
      </rPr>
      <t>Stage 1</t>
    </r>
    <r>
      <rPr>
        <sz val="11"/>
        <color theme="1"/>
        <rFont val="Calibri"/>
        <family val="2"/>
        <scheme val="minor"/>
      </rPr>
      <t xml:space="preserve">: 1d6 (1 round), </t>
    </r>
    <r>
      <rPr>
        <b/>
        <sz val="11"/>
        <color theme="1"/>
        <rFont val="Calibri"/>
        <family val="2"/>
        <scheme val="minor"/>
      </rPr>
      <t>Stage 2</t>
    </r>
    <r>
      <rPr>
        <sz val="11"/>
        <color theme="1"/>
        <rFont val="Calibri"/>
        <family val="2"/>
        <scheme val="minor"/>
      </rPr>
      <t xml:space="preserve">: 1d8 and flat-footed (1 round), </t>
    </r>
    <r>
      <rPr>
        <b/>
        <sz val="11"/>
        <color theme="1"/>
        <rFont val="Calibri"/>
        <family val="2"/>
        <scheme val="minor"/>
      </rPr>
      <t>Stage 3</t>
    </r>
    <r>
      <rPr>
        <sz val="11"/>
        <color theme="1"/>
        <rFont val="Calibri"/>
        <family val="2"/>
        <scheme val="minor"/>
      </rPr>
      <t>: 1d12, clumsy-1 and flat-footed (1 round)</t>
    </r>
  </si>
  <si>
    <t>Injury</t>
  </si>
  <si>
    <t>Belladona</t>
  </si>
  <si>
    <r>
      <rPr>
        <b/>
        <sz val="11"/>
        <color theme="1"/>
        <rFont val="Calibri"/>
        <family val="2"/>
        <scheme val="minor"/>
      </rPr>
      <t>Onset</t>
    </r>
    <r>
      <rPr>
        <sz val="11"/>
        <color theme="1"/>
        <rFont val="Calibri"/>
        <family val="2"/>
        <scheme val="minor"/>
      </rPr>
      <t xml:space="preserve">: 10 min, </t>
    </r>
    <r>
      <rPr>
        <b/>
        <sz val="11"/>
        <color theme="1"/>
        <rFont val="Calibri"/>
        <family val="2"/>
        <scheme val="minor"/>
      </rPr>
      <t>Duration</t>
    </r>
    <r>
      <rPr>
        <sz val="11"/>
        <color theme="1"/>
        <rFont val="Calibri"/>
        <family val="2"/>
        <scheme val="minor"/>
      </rPr>
      <t xml:space="preserve">: 30 min, </t>
    </r>
    <r>
      <rPr>
        <b/>
        <sz val="11"/>
        <color theme="1"/>
        <rFont val="Calibri"/>
        <family val="2"/>
        <scheme val="minor"/>
      </rPr>
      <t>Stage 1</t>
    </r>
    <r>
      <rPr>
        <sz val="11"/>
        <color theme="1"/>
        <rFont val="Calibri"/>
        <family val="2"/>
        <scheme val="minor"/>
      </rPr>
      <t xml:space="preserve">: dazzled (10 min), </t>
    </r>
    <r>
      <rPr>
        <b/>
        <sz val="11"/>
        <color theme="1"/>
        <rFont val="Calibri"/>
        <family val="2"/>
        <scheme val="minor"/>
      </rPr>
      <t>Stage 2</t>
    </r>
    <r>
      <rPr>
        <sz val="11"/>
        <color theme="1"/>
        <rFont val="Calibri"/>
        <family val="2"/>
        <scheme val="minor"/>
      </rPr>
      <t xml:space="preserve">: 1d6 and sickened-1 (10 min), </t>
    </r>
    <r>
      <rPr>
        <b/>
        <sz val="11"/>
        <color theme="1"/>
        <rFont val="Calibri"/>
        <family val="2"/>
        <scheme val="minor"/>
      </rPr>
      <t>Stage 3</t>
    </r>
    <r>
      <rPr>
        <sz val="11"/>
        <color theme="1"/>
        <rFont val="Calibri"/>
        <family val="2"/>
        <scheme val="minor"/>
      </rPr>
      <t>: 1d6, confused and sickened-1 (1 min)</t>
    </r>
  </si>
  <si>
    <t>Flat check for hidden: 5, no flat check for concealed</t>
  </si>
  <si>
    <t>For creatures within 30 ft</t>
  </si>
  <si>
    <t>Eagle's Eye Elixir</t>
  </si>
  <si>
    <t>Gain +2 to Perception checks, or +3 to find secret doors and traps.</t>
  </si>
  <si>
    <r>
      <rPr>
        <b/>
        <sz val="11"/>
        <color theme="1"/>
        <rFont val="Calibri"/>
        <family val="2"/>
        <scheme val="minor"/>
      </rPr>
      <t>Duration</t>
    </r>
    <r>
      <rPr>
        <sz val="11"/>
        <color theme="1"/>
        <rFont val="Calibri"/>
        <family val="2"/>
        <scheme val="minor"/>
      </rPr>
      <t xml:space="preserve">: 4 rounds, </t>
    </r>
    <r>
      <rPr>
        <b/>
        <sz val="11"/>
        <color theme="1"/>
        <rFont val="Calibri"/>
        <family val="2"/>
        <scheme val="minor"/>
      </rPr>
      <t>Stage 1</t>
    </r>
    <r>
      <rPr>
        <sz val="11"/>
        <color theme="1"/>
        <rFont val="Calibri"/>
        <family val="2"/>
        <scheme val="minor"/>
      </rPr>
      <t xml:space="preserve">: 1d10 (1 round), </t>
    </r>
    <r>
      <rPr>
        <b/>
        <sz val="11"/>
        <color theme="1"/>
        <rFont val="Calibri"/>
        <family val="2"/>
        <scheme val="minor"/>
      </rPr>
      <t>Stage 2</t>
    </r>
    <r>
      <rPr>
        <sz val="11"/>
        <color theme="1"/>
        <rFont val="Calibri"/>
        <family val="2"/>
        <scheme val="minor"/>
      </rPr>
      <t xml:space="preserve">: 1d12 and stupefied-1 (1 round), </t>
    </r>
    <r>
      <rPr>
        <b/>
        <sz val="11"/>
        <color theme="1"/>
        <rFont val="Calibri"/>
        <family val="2"/>
        <scheme val="minor"/>
      </rPr>
      <t>Stage 3</t>
    </r>
    <r>
      <rPr>
        <sz val="11"/>
        <color theme="1"/>
        <rFont val="Calibri"/>
        <family val="2"/>
        <scheme val="minor"/>
      </rPr>
      <t>: 2d6 and stupefied-2 (1 round)</t>
    </r>
  </si>
  <si>
    <t>Alchemist's Fire (Moderate)</t>
  </si>
  <si>
    <t>+ 1 item bonus, 2d8 fire + 3 splash</t>
  </si>
  <si>
    <t>Leadenleg</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</si>
  <si>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1d10 and 5-foot penalty (1 round), </t>
    </r>
    <r>
      <rPr>
        <b/>
        <sz val="11"/>
        <color theme="1"/>
        <rFont val="Calibri"/>
        <family val="2"/>
        <scheme val="minor"/>
      </rPr>
      <t>Stage 2</t>
    </r>
    <r>
      <rPr>
        <sz val="11"/>
        <color theme="1"/>
        <rFont val="Calibri"/>
        <family val="2"/>
        <scheme val="minor"/>
      </rPr>
      <t xml:space="preserve">: 2d6 and 10-foot penalty (1 round), </t>
    </r>
    <r>
      <rPr>
        <b/>
        <sz val="11"/>
        <color theme="1"/>
        <rFont val="Calibri"/>
        <family val="2"/>
        <scheme val="minor"/>
      </rPr>
      <t>Stage 3</t>
    </r>
    <r>
      <rPr>
        <sz val="11"/>
        <color theme="1"/>
        <rFont val="Calibri"/>
        <family val="2"/>
        <scheme val="minor"/>
      </rPr>
      <t>: 2d6 and 20-foot penalty (1 round)</t>
    </r>
  </si>
  <si>
    <t>Crystal Shards (Moderate)</t>
  </si>
  <si>
    <t>+1 item bonus, 2d4 piercing + 4 splash</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</si>
  <si>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1d10 and flat-footed (1 round), </t>
    </r>
    <r>
      <rPr>
        <b/>
        <sz val="11"/>
        <color theme="1"/>
        <rFont val="Calibri"/>
        <family val="2"/>
        <scheme val="minor"/>
      </rPr>
      <t>Stage 2</t>
    </r>
    <r>
      <rPr>
        <sz val="11"/>
        <color theme="1"/>
        <rFont val="Calibri"/>
        <family val="2"/>
        <scheme val="minor"/>
      </rPr>
      <t xml:space="preserve">: 1d12 and clumsy-1 (1 round), </t>
    </r>
    <r>
      <rPr>
        <b/>
        <sz val="11"/>
        <color theme="1"/>
        <rFont val="Calibri"/>
        <family val="2"/>
        <scheme val="minor"/>
      </rPr>
      <t>Stage 3</t>
    </r>
    <r>
      <rPr>
        <sz val="11"/>
        <color theme="1"/>
        <rFont val="Calibri"/>
        <family val="2"/>
        <scheme val="minor"/>
      </rPr>
      <t>: 2d6, clumsy-2 and flat-footed (1 round)</t>
    </r>
  </si>
  <si>
    <r>
      <rPr>
        <b/>
        <sz val="11"/>
        <color theme="1"/>
        <rFont val="Calibri"/>
        <family val="2"/>
        <scheme val="minor"/>
      </rPr>
      <t>Duration</t>
    </r>
    <r>
      <rPr>
        <sz val="11"/>
        <color theme="1"/>
        <rFont val="Calibri"/>
        <family val="2"/>
        <scheme val="minor"/>
      </rPr>
      <t xml:space="preserve">: 4 rounds, </t>
    </r>
    <r>
      <rPr>
        <b/>
        <sz val="11"/>
        <color theme="1"/>
        <rFont val="Calibri"/>
        <family val="2"/>
        <scheme val="minor"/>
      </rPr>
      <t>Stage 1</t>
    </r>
    <r>
      <rPr>
        <sz val="11"/>
        <color theme="1"/>
        <rFont val="Calibri"/>
        <family val="2"/>
        <scheme val="minor"/>
      </rPr>
      <t xml:space="preserve">: 1d10  (1 round), </t>
    </r>
    <r>
      <rPr>
        <b/>
        <sz val="11"/>
        <color theme="1"/>
        <rFont val="Calibri"/>
        <family val="2"/>
        <scheme val="minor"/>
      </rPr>
      <t>Stage 2</t>
    </r>
    <r>
      <rPr>
        <sz val="11"/>
        <color theme="1"/>
        <rFont val="Calibri"/>
        <family val="2"/>
        <scheme val="minor"/>
      </rPr>
      <t xml:space="preserve">: 1d12  (1 round), </t>
    </r>
    <r>
      <rPr>
        <b/>
        <sz val="11"/>
        <color theme="1"/>
        <rFont val="Calibri"/>
        <family val="2"/>
        <scheme val="minor"/>
      </rPr>
      <t>Stage 3</t>
    </r>
    <r>
      <rPr>
        <sz val="11"/>
        <color theme="1"/>
        <rFont val="Calibri"/>
        <family val="2"/>
        <scheme val="minor"/>
      </rPr>
      <t>: 2d10  (1 round)</t>
    </r>
  </si>
  <si>
    <t>Giant Scorpion Venom</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</si>
  <si>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1d10 and enfeebled-1  (1 round), </t>
    </r>
    <r>
      <rPr>
        <b/>
        <sz val="11"/>
        <color theme="1"/>
        <rFont val="Calibri"/>
        <family val="2"/>
        <scheme val="minor"/>
      </rPr>
      <t>Stage 2</t>
    </r>
    <r>
      <rPr>
        <sz val="11"/>
        <color theme="1"/>
        <rFont val="Calibri"/>
        <family val="2"/>
        <scheme val="minor"/>
      </rPr>
      <t xml:space="preserve">: 2d10 and enfeebled-1 (1 round), </t>
    </r>
    <r>
      <rPr>
        <b/>
        <sz val="11"/>
        <color theme="1"/>
        <rFont val="Calibri"/>
        <family val="2"/>
        <scheme val="minor"/>
      </rPr>
      <t>Stage 3</t>
    </r>
    <r>
      <rPr>
        <sz val="11"/>
        <color theme="1"/>
        <rFont val="Calibri"/>
        <family val="2"/>
        <scheme val="minor"/>
      </rPr>
      <t>: 2d10 and enfeebled-2  (1 round)</t>
    </r>
  </si>
  <si>
    <t>1 weapon or 10 ammo become silver</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</si>
  <si>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2d6 and clumsy-1 (1 round), </t>
    </r>
    <r>
      <rPr>
        <b/>
        <sz val="11"/>
        <color theme="1"/>
        <rFont val="Calibri"/>
        <family val="2"/>
        <scheme val="minor"/>
      </rPr>
      <t>Stage 2</t>
    </r>
    <r>
      <rPr>
        <sz val="11"/>
        <color theme="1"/>
        <rFont val="Calibri"/>
        <family val="2"/>
        <scheme val="minor"/>
      </rPr>
      <t xml:space="preserve">: 3d6 and clumsy-2 (1 round), </t>
    </r>
    <r>
      <rPr>
        <b/>
        <sz val="11"/>
        <color theme="1"/>
        <rFont val="Calibri"/>
        <family val="2"/>
        <scheme val="minor"/>
      </rPr>
      <t>Stage 3</t>
    </r>
    <r>
      <rPr>
        <sz val="11"/>
        <color theme="1"/>
        <rFont val="Calibri"/>
        <family val="2"/>
        <scheme val="minor"/>
      </rPr>
      <t>: 4d6 and clumsy-2 (1 round)</t>
    </r>
  </si>
  <si>
    <t>Concealed for 1 minute</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</si>
  <si>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5d6 (1 round), </t>
    </r>
    <r>
      <rPr>
        <b/>
        <sz val="11"/>
        <color theme="1"/>
        <rFont val="Calibri"/>
        <family val="2"/>
        <scheme val="minor"/>
      </rPr>
      <t>Stage 2</t>
    </r>
    <r>
      <rPr>
        <sz val="11"/>
        <color theme="1"/>
        <rFont val="Calibri"/>
        <family val="2"/>
        <scheme val="minor"/>
      </rPr>
      <t xml:space="preserve">: 6d6 (1 round), </t>
    </r>
    <r>
      <rPr>
        <b/>
        <sz val="11"/>
        <color theme="1"/>
        <rFont val="Calibri"/>
        <family val="2"/>
        <scheme val="minor"/>
      </rPr>
      <t>Stage 3</t>
    </r>
    <r>
      <rPr>
        <sz val="11"/>
        <color theme="1"/>
        <rFont val="Calibri"/>
        <family val="2"/>
        <scheme val="minor"/>
      </rPr>
      <t>: 8d6 (1 round)</t>
    </r>
  </si>
  <si>
    <t>Nettleweed Resisue</t>
  </si>
  <si>
    <r>
      <rPr>
        <b/>
        <sz val="11"/>
        <color theme="1"/>
        <rFont val="Calibri"/>
        <family val="2"/>
        <scheme val="minor"/>
      </rPr>
      <t xml:space="preserve">Onset: </t>
    </r>
    <r>
      <rPr>
        <sz val="11"/>
        <color theme="1"/>
        <rFont val="Calibri"/>
        <family val="2"/>
        <scheme val="minor"/>
      </rPr>
      <t>1 min</t>
    </r>
    <r>
      <rPr>
        <b/>
        <sz val="11"/>
        <color theme="1"/>
        <rFont val="Calibri"/>
        <family val="2"/>
        <scheme val="minor"/>
      </rPr>
      <t>, Duration</t>
    </r>
    <r>
      <rPr>
        <sz val="11"/>
        <color theme="1"/>
        <rFont val="Calibri"/>
        <family val="2"/>
        <scheme val="minor"/>
      </rPr>
      <t xml:space="preserve">: 6 min, </t>
    </r>
    <r>
      <rPr>
        <b/>
        <sz val="11"/>
        <color theme="1"/>
        <rFont val="Calibri"/>
        <family val="2"/>
        <scheme val="minor"/>
      </rPr>
      <t>Stage 1</t>
    </r>
    <r>
      <rPr>
        <sz val="11"/>
        <color theme="1"/>
        <rFont val="Calibri"/>
        <family val="2"/>
        <scheme val="minor"/>
      </rPr>
      <t xml:space="preserve">: 8d6 (1 min), </t>
    </r>
    <r>
      <rPr>
        <b/>
        <sz val="11"/>
        <color theme="1"/>
        <rFont val="Calibri"/>
        <family val="2"/>
        <scheme val="minor"/>
      </rPr>
      <t>Stage 2</t>
    </r>
    <r>
      <rPr>
        <sz val="11"/>
        <color theme="1"/>
        <rFont val="Calibri"/>
        <family val="2"/>
        <scheme val="minor"/>
      </rPr>
      <t xml:space="preserve">: 10d6 (1 min), </t>
    </r>
    <r>
      <rPr>
        <b/>
        <sz val="11"/>
        <color theme="1"/>
        <rFont val="Calibri"/>
        <family val="2"/>
        <scheme val="minor"/>
      </rPr>
      <t>Stage 3</t>
    </r>
    <r>
      <rPr>
        <sz val="11"/>
        <color theme="1"/>
        <rFont val="Calibri"/>
        <family val="2"/>
        <scheme val="minor"/>
      </rPr>
      <t>: 13d6 (1 min)</t>
    </r>
  </si>
  <si>
    <t>Contact</t>
  </si>
  <si>
    <t>All creatures within 20 ft are concealed</t>
  </si>
  <si>
    <t>Bravo's Brew (Moderate)</t>
  </si>
  <si>
    <t>+ 2 Will saves, + 3 against fear</t>
  </si>
  <si>
    <t>+3 Fort, 30 temp HP, -2 Will for 1 hour. If you roll success on Fort, you get critical success instead</t>
  </si>
  <si>
    <r>
      <rPr>
        <b/>
        <sz val="11"/>
        <color theme="1"/>
        <rFont val="Calibri"/>
        <family val="2"/>
        <scheme val="minor"/>
      </rPr>
      <t xml:space="preserve">Onset: </t>
    </r>
    <r>
      <rPr>
        <sz val="11"/>
        <color theme="1"/>
        <rFont val="Calibri"/>
        <family val="2"/>
        <scheme val="minor"/>
      </rPr>
      <t>10 min</t>
    </r>
    <r>
      <rPr>
        <b/>
        <sz val="11"/>
        <color theme="1"/>
        <rFont val="Calibri"/>
        <family val="2"/>
        <scheme val="minor"/>
      </rPr>
      <t>, Duration</t>
    </r>
    <r>
      <rPr>
        <sz val="11"/>
        <color theme="1"/>
        <rFont val="Calibri"/>
        <family val="2"/>
        <scheme val="minor"/>
      </rPr>
      <t xml:space="preserve">: 6 min, </t>
    </r>
    <r>
      <rPr>
        <b/>
        <sz val="11"/>
        <color theme="1"/>
        <rFont val="Calibri"/>
        <family val="2"/>
        <scheme val="minor"/>
      </rPr>
      <t>Stage 1</t>
    </r>
    <r>
      <rPr>
        <sz val="11"/>
        <color theme="1"/>
        <rFont val="Calibri"/>
        <family val="2"/>
        <scheme val="minor"/>
      </rPr>
      <t xml:space="preserve">: 12d6 (1 min), </t>
    </r>
    <r>
      <rPr>
        <b/>
        <sz val="11"/>
        <color theme="1"/>
        <rFont val="Calibri"/>
        <family val="2"/>
        <scheme val="minor"/>
      </rPr>
      <t>Stage 2</t>
    </r>
    <r>
      <rPr>
        <sz val="11"/>
        <color theme="1"/>
        <rFont val="Calibri"/>
        <family val="2"/>
        <scheme val="minor"/>
      </rPr>
      <t xml:space="preserve">: 16d6 (1 min) </t>
    </r>
    <r>
      <rPr>
        <b/>
        <sz val="11"/>
        <color theme="1"/>
        <rFont val="Calibri"/>
        <family val="2"/>
        <scheme val="minor"/>
      </rPr>
      <t>Stage 3</t>
    </r>
    <r>
      <rPr>
        <sz val="11"/>
        <color theme="1"/>
        <rFont val="Calibri"/>
        <family val="2"/>
        <scheme val="minor"/>
      </rPr>
      <t>: 20d6 (1 min) Cures Lycanthropy</t>
    </r>
  </si>
  <si>
    <r>
      <rPr>
        <b/>
        <sz val="11"/>
        <color theme="1"/>
        <rFont val="Calibri"/>
        <family val="2"/>
        <scheme val="minor"/>
      </rPr>
      <t>Benefit</t>
    </r>
    <r>
      <rPr>
        <sz val="11"/>
        <color theme="1"/>
        <rFont val="Calibri"/>
        <family val="2"/>
        <scheme val="minor"/>
      </rPr>
      <t xml:space="preserve">: + 6 AC, Dex cap +2, + 3 Perception for 1 hour, </t>
    </r>
    <r>
      <rPr>
        <b/>
        <sz val="11"/>
        <color theme="1"/>
        <rFont val="Calibri"/>
        <family val="2"/>
        <scheme val="minor"/>
      </rPr>
      <t>Drawback</t>
    </r>
    <r>
      <rPr>
        <sz val="11"/>
        <color theme="1"/>
        <rFont val="Calibri"/>
        <family val="2"/>
        <scheme val="minor"/>
      </rPr>
      <t>: -1 Will, Refl and Recall Knowledge</t>
    </r>
  </si>
  <si>
    <t>Final Surge: Activate 1 action - Stride twice duration ends</t>
  </si>
  <si>
    <t>Restore 7d6 + 18, + 2 saves against diseases and poisons for 10 min</t>
  </si>
  <si>
    <t>Purple Worm Venom</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</si>
  <si>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5d6 and enfeebled-2 (1 round), </t>
    </r>
    <r>
      <rPr>
        <b/>
        <sz val="11"/>
        <color theme="1"/>
        <rFont val="Calibri"/>
        <family val="2"/>
        <scheme val="minor"/>
      </rPr>
      <t>Stage 2</t>
    </r>
    <r>
      <rPr>
        <sz val="11"/>
        <color theme="1"/>
        <rFont val="Calibri"/>
        <family val="2"/>
        <scheme val="minor"/>
      </rPr>
      <t xml:space="preserve">: 6d6 and enfeebled-2 (1 round), </t>
    </r>
    <r>
      <rPr>
        <b/>
        <sz val="11"/>
        <color theme="1"/>
        <rFont val="Calibri"/>
        <family val="2"/>
        <scheme val="minor"/>
      </rPr>
      <t>Stage 3</t>
    </r>
    <r>
      <rPr>
        <sz val="11"/>
        <color theme="1"/>
        <rFont val="Calibri"/>
        <family val="2"/>
        <scheme val="minor"/>
      </rPr>
      <t>: 8d6 and enfeebled-2 (1 round)</t>
    </r>
  </si>
  <si>
    <r>
      <rPr>
        <b/>
        <sz val="11"/>
        <color theme="1"/>
        <rFont val="Calibri"/>
        <family val="2"/>
        <scheme val="minor"/>
      </rPr>
      <t>Benefit</t>
    </r>
    <r>
      <rPr>
        <sz val="11"/>
        <color theme="1"/>
        <rFont val="Calibri"/>
        <family val="2"/>
        <scheme val="minor"/>
      </rPr>
      <t xml:space="preserve">: +3 Athletics and Intimidation, claw 1d8 slashing &amp; bite 1d10 piercing for 1 hour, </t>
    </r>
    <r>
      <rPr>
        <b/>
        <sz val="11"/>
        <color theme="1"/>
        <rFont val="Calibri"/>
        <family val="2"/>
        <scheme val="minor"/>
      </rPr>
      <t>Drawback</t>
    </r>
    <r>
      <rPr>
        <sz val="11"/>
        <color theme="1"/>
        <rFont val="Calibri"/>
        <family val="2"/>
        <scheme val="minor"/>
      </rPr>
      <t xml:space="preserve">: -1 AC and -2 Refl
or </t>
    </r>
    <r>
      <rPr>
        <b/>
        <sz val="11"/>
        <color theme="1"/>
        <rFont val="Calibri"/>
        <family val="2"/>
        <scheme val="minor"/>
      </rPr>
      <t>Benefit</t>
    </r>
    <r>
      <rPr>
        <sz val="11"/>
        <color theme="1"/>
        <rFont val="Calibri"/>
        <family val="2"/>
        <scheme val="minor"/>
      </rPr>
      <t xml:space="preserve">: +3 Athletics and Intimidation, claw 1d10 slashing &amp; bite 1d12 piercing and Deadly-10 for 1 hour, </t>
    </r>
    <r>
      <rPr>
        <b/>
        <sz val="11"/>
        <color theme="1"/>
        <rFont val="Calibri"/>
        <family val="2"/>
        <scheme val="minor"/>
      </rPr>
      <t>Drawback</t>
    </r>
    <r>
      <rPr>
        <sz val="11"/>
        <color theme="1"/>
        <rFont val="Calibri"/>
        <family val="2"/>
        <scheme val="minor"/>
      </rPr>
      <t>: -2 AC and -2 Refl</t>
    </r>
  </si>
  <si>
    <t>Deathcap Powder</t>
  </si>
  <si>
    <r>
      <rPr>
        <b/>
        <sz val="11"/>
        <color theme="1"/>
        <rFont val="Calibri"/>
        <family val="2"/>
        <scheme val="minor"/>
      </rPr>
      <t>Onset</t>
    </r>
    <r>
      <rPr>
        <sz val="11"/>
        <color theme="1"/>
        <rFont val="Calibri"/>
        <family val="2"/>
        <scheme val="minor"/>
      </rPr>
      <t xml:space="preserve">: 10 min, </t>
    </r>
    <r>
      <rPr>
        <b/>
        <sz val="11"/>
        <color theme="1"/>
        <rFont val="Calibri"/>
        <family val="2"/>
        <scheme val="minor"/>
      </rPr>
      <t>Duration</t>
    </r>
    <r>
      <rPr>
        <sz val="11"/>
        <color theme="1"/>
        <rFont val="Calibri"/>
        <family val="2"/>
        <scheme val="minor"/>
      </rPr>
      <t xml:space="preserve">: 6 min, </t>
    </r>
    <r>
      <rPr>
        <b/>
        <sz val="11"/>
        <color theme="1"/>
        <rFont val="Calibri"/>
        <family val="2"/>
        <scheme val="minor"/>
      </rPr>
      <t>Stage 1</t>
    </r>
    <r>
      <rPr>
        <sz val="11"/>
        <color theme="1"/>
        <rFont val="Calibri"/>
        <family val="2"/>
        <scheme val="minor"/>
      </rPr>
      <t xml:space="preserve">: 13d6 (10 min), </t>
    </r>
    <r>
      <rPr>
        <b/>
        <sz val="11"/>
        <color theme="1"/>
        <rFont val="Calibri"/>
        <family val="2"/>
        <scheme val="minor"/>
      </rPr>
      <t>Stage 2</t>
    </r>
    <r>
      <rPr>
        <sz val="11"/>
        <color theme="1"/>
        <rFont val="Calibri"/>
        <family val="2"/>
        <scheme val="minor"/>
      </rPr>
      <t xml:space="preserve">: 17d6 and sickened-2 (10 min), </t>
    </r>
    <r>
      <rPr>
        <b/>
        <sz val="11"/>
        <color theme="1"/>
        <rFont val="Calibri"/>
        <family val="2"/>
        <scheme val="minor"/>
      </rPr>
      <t>Stage 3</t>
    </r>
    <r>
      <rPr>
        <sz val="11"/>
        <color theme="1"/>
        <rFont val="Calibri"/>
        <family val="2"/>
        <scheme val="minor"/>
      </rPr>
      <t>: 20d6 and sickened-3 (1 min)</t>
    </r>
  </si>
  <si>
    <t>Dread ampoule (Greater)</t>
  </si>
  <si>
    <t>+ 2 item bonus, 3d6 mental + 3 mental splash, frightened-1 or frightened-2 on Crit</t>
  </si>
  <si>
    <t>Frost Vial (Greater)</t>
  </si>
  <si>
    <t>+ 2 item bonus, 3d6 cold + 3 cold splash, -10-foot penalty</t>
  </si>
  <si>
    <t>Elixir of Life ( Moderate)</t>
  </si>
  <si>
    <t>Restore 5d6 + 12, + 2 saves against diseases and poisons for 10 min</t>
  </si>
  <si>
    <r>
      <rPr>
        <b/>
        <sz val="11"/>
        <color theme="1"/>
        <rFont val="Calibri"/>
        <family val="2"/>
        <charset val="161"/>
        <scheme val="minor"/>
      </rPr>
      <t>Benefit</t>
    </r>
    <r>
      <rPr>
        <sz val="11"/>
        <color theme="1"/>
        <rFont val="Calibri"/>
        <family val="2"/>
        <charset val="161"/>
        <scheme val="minor"/>
      </rPr>
      <t>:</t>
    </r>
    <r>
      <rPr>
        <sz val="11"/>
        <color theme="1"/>
        <rFont val="Calibri"/>
        <family val="2"/>
        <scheme val="minor"/>
      </rPr>
      <t xml:space="preserve"> + 3 item bonus to Accrobatics, Stealth, Thievery, Refl &amp; Dex based Attacks, +15feet 
</t>
    </r>
    <r>
      <rPr>
        <b/>
        <sz val="11"/>
        <color theme="1"/>
        <rFont val="Calibri"/>
        <family val="2"/>
        <charset val="161"/>
        <scheme val="minor"/>
      </rPr>
      <t>Drawback</t>
    </r>
    <r>
      <rPr>
        <sz val="11"/>
        <color theme="1"/>
        <rFont val="Calibri"/>
        <family val="2"/>
        <scheme val="minor"/>
      </rPr>
      <t>: you take damage equal to twice your level and you can't take it back, -2 Fort</t>
    </r>
  </si>
  <si>
    <t>When emptied into an adjacent body of water, the pellets freeze the water's surface, creating an ice block in a 10-foot square to a depth of 1 foot.</t>
  </si>
  <si>
    <t>Cold Iron Branch ( Moderate)</t>
  </si>
  <si>
    <t>Apply on weapon or 10 ammo counts as Cold Iron.</t>
  </si>
  <si>
    <t>For weapon it lasts 10 successful strikes. In ammo 10m</t>
  </si>
  <si>
    <r>
      <rPr>
        <b/>
        <sz val="11"/>
        <color theme="1"/>
        <rFont val="Calibri"/>
        <family val="2"/>
        <scheme val="minor"/>
      </rPr>
      <t>Benefit:</t>
    </r>
    <r>
      <rPr>
        <sz val="11"/>
        <color theme="1"/>
        <rFont val="Calibri"/>
        <family val="2"/>
        <scheme val="minor"/>
      </rPr>
      <t xml:space="preserve"> +3 to Arcana, Crafting, Lore, Occultism, and Society </t>
    </r>
    <r>
      <rPr>
        <b/>
        <sz val="11"/>
        <color theme="1"/>
        <rFont val="Calibri"/>
        <family val="2"/>
        <scheme val="minor"/>
      </rPr>
      <t>Drawback:</t>
    </r>
    <r>
      <rPr>
        <sz val="11"/>
        <color theme="1"/>
        <rFont val="Calibri"/>
        <family val="2"/>
        <scheme val="minor"/>
      </rPr>
      <t xml:space="preserve"> You take a –2 penalty to weapon and unarmed attack rolls, Athletics checks, and Acrobatics checks. You can carry 2 less Bulk than normal before becoming encumbered, and the maximum Bulk you can carry is reduced by 4.</t>
    </r>
  </si>
  <si>
    <r>
      <rPr>
        <b/>
        <sz val="11"/>
        <color theme="1"/>
        <rFont val="Calibri"/>
        <family val="2"/>
        <scheme val="minor"/>
      </rPr>
      <t xml:space="preserve">Onset: </t>
    </r>
    <r>
      <rPr>
        <sz val="11"/>
        <color theme="1"/>
        <rFont val="Calibri"/>
        <family val="2"/>
        <scheme val="minor"/>
      </rPr>
      <t>1 round,</t>
    </r>
    <r>
      <rPr>
        <b/>
        <sz val="11"/>
        <color theme="1"/>
        <rFont val="Calibri"/>
        <family val="2"/>
        <scheme val="minor"/>
      </rPr>
      <t xml:space="preserve"> 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stupefied 2  (1 round), </t>
    </r>
    <r>
      <rPr>
        <b/>
        <sz val="11"/>
        <color theme="1"/>
        <rFont val="Calibri"/>
        <family val="2"/>
        <scheme val="minor"/>
      </rPr>
      <t>Stage 2</t>
    </r>
    <r>
      <rPr>
        <sz val="11"/>
        <color theme="1"/>
        <rFont val="Calibri"/>
        <family val="2"/>
        <scheme val="minor"/>
      </rPr>
      <t xml:space="preserve">: confused and stupefied 3 (1 round), </t>
    </r>
    <r>
      <rPr>
        <b/>
        <sz val="11"/>
        <color theme="1"/>
        <rFont val="Calibri"/>
        <family val="2"/>
        <scheme val="minor"/>
      </rPr>
      <t>Stage 3</t>
    </r>
    <r>
      <rPr>
        <sz val="11"/>
        <color theme="1"/>
        <rFont val="Calibri"/>
        <family val="2"/>
        <scheme val="minor"/>
      </rPr>
      <t>: confused and stupefied 4  (1 round)</t>
    </r>
  </si>
  <si>
    <t>Inhaled</t>
  </si>
  <si>
    <r>
      <rPr>
        <b/>
        <sz val="11"/>
        <color theme="1"/>
        <rFont val="Calibri"/>
        <family val="2"/>
        <scheme val="minor"/>
      </rPr>
      <t>Duration</t>
    </r>
    <r>
      <rPr>
        <sz val="11"/>
        <color theme="1"/>
        <rFont val="Calibri"/>
        <family val="2"/>
        <scheme val="minor"/>
      </rPr>
      <t xml:space="preserve">: 6 rounds, </t>
    </r>
    <r>
      <rPr>
        <b/>
        <sz val="11"/>
        <color theme="1"/>
        <rFont val="Calibri"/>
        <family val="2"/>
        <scheme val="minor"/>
      </rPr>
      <t>Stage 1</t>
    </r>
    <r>
      <rPr>
        <sz val="11"/>
        <color theme="1"/>
        <rFont val="Calibri"/>
        <family val="2"/>
        <scheme val="minor"/>
      </rPr>
      <t xml:space="preserve">: 8d6 damage (1 round), </t>
    </r>
    <r>
      <rPr>
        <b/>
        <sz val="11"/>
        <color theme="1"/>
        <rFont val="Calibri"/>
        <family val="2"/>
        <scheme val="minor"/>
      </rPr>
      <t>Stage 2</t>
    </r>
    <r>
      <rPr>
        <sz val="11"/>
        <color theme="1"/>
        <rFont val="Calibri"/>
        <family val="2"/>
        <scheme val="minor"/>
      </rPr>
      <t xml:space="preserve">: 10d6 damage (1 round), </t>
    </r>
    <r>
      <rPr>
        <b/>
        <sz val="11"/>
        <color theme="1"/>
        <rFont val="Calibri"/>
        <family val="2"/>
        <scheme val="minor"/>
      </rPr>
      <t>Stage 3</t>
    </r>
    <r>
      <rPr>
        <sz val="11"/>
        <color theme="1"/>
        <rFont val="Calibri"/>
        <family val="2"/>
        <scheme val="minor"/>
      </rPr>
      <t xml:space="preserve">: 12d6 damage (1 round). </t>
    </r>
  </si>
  <si>
    <t>If a creature under the effects of eldritch flare Casts a Spell, excess magical energy feeds back into the toxin, increasing the DC of the poison by 2 that round. In addition, if the spell deals damage, the poison deals half its damage as one of the types of damage the spell deals (the other half remains poison damage). If the target is immune or has resistance to the spell's damage, the poison deals half its damage as mental damage instead. If the victim casts no spells during a round while affected, the poison still deals its poison damage.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</si>
</sst>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
    <numFmt numFmtId="165" formatCode="0\ &quot;cp&quot;"/>
    <numFmt numFmtId="166" formatCode="0\ &quot;sp&quot;"/>
    <numFmt numFmtId="167" formatCode="0\ &quot;gp&quot;"/>
    <numFmt numFmtId="168" formatCode="0.0\ &quot;gp&quot;"/>
    <numFmt numFmtId="169" formatCode="0&quot; gp&quot;"/>
  </numFmts>
  <fonts count="23">
    <font>
      <sz val="11"/>
      <color theme="1"/>
      <name val="Calibri"/>
      <family val="2"/>
      <scheme val="minor"/>
    </font>
    <font>
      <sz val="11"/>
      <color theme="1"/>
      <name val="Calibri"/>
      <family val="2"/>
      <charset val="161"/>
      <scheme val="minor"/>
    </font>
    <font>
      <b/>
      <sz val="11"/>
      <color theme="1"/>
      <name val="Calibri"/>
      <family val="2"/>
      <scheme val="minor"/>
    </font>
    <font>
      <b/>
      <sz val="11"/>
      <color theme="1"/>
      <name val="Calibri"/>
      <family val="2"/>
      <charset val="161"/>
      <scheme val="minor"/>
    </font>
    <font>
      <b/>
      <sz val="12"/>
      <color theme="1"/>
      <name val="Calibri"/>
      <family val="2"/>
      <scheme val="minor"/>
    </font>
    <font>
      <b/>
      <sz val="12"/>
      <color theme="1"/>
      <name val="Calibri"/>
      <family val="2"/>
      <charset val="161"/>
      <scheme val="minor"/>
    </font>
    <font>
      <sz val="11"/>
      <color theme="1"/>
      <name val="Calibri"/>
      <family val="2"/>
    </font>
    <font>
      <b/>
      <sz val="14"/>
      <color theme="1"/>
      <name val="Calibri"/>
      <family val="2"/>
      <scheme val="minor"/>
    </font>
    <font>
      <sz val="8"/>
      <name val="Calibri"/>
      <family val="2"/>
      <scheme val="minor"/>
    </font>
    <font>
      <sz val="12"/>
      <color theme="1"/>
      <name val="Calibri"/>
      <family val="2"/>
      <scheme val="minor"/>
    </font>
    <font>
      <b/>
      <sz val="14"/>
      <color theme="1"/>
      <name val="Calibri"/>
      <family val="2"/>
      <charset val="161"/>
      <scheme val="minor"/>
    </font>
    <font>
      <b/>
      <sz val="10"/>
      <color theme="1"/>
      <name val="Calibri"/>
      <family val="2"/>
      <charset val="161"/>
      <scheme val="minor"/>
    </font>
    <font>
      <sz val="11"/>
      <color theme="0"/>
      <name val="Calibri"/>
      <family val="2"/>
      <scheme val="minor"/>
    </font>
    <font>
      <b/>
      <sz val="10"/>
      <color theme="0"/>
      <name val="Calibri"/>
      <family val="2"/>
      <charset val="161"/>
      <scheme val="minor"/>
    </font>
    <font>
      <sz val="11"/>
      <color theme="0"/>
      <name val="Calibri"/>
      <family val="2"/>
      <charset val="161"/>
      <scheme val="minor"/>
    </font>
    <font>
      <sz val="9"/>
      <color indexed="81"/>
      <name val="Tahoma"/>
      <family val="2"/>
      <charset val="161"/>
    </font>
    <font>
      <b/>
      <sz val="9"/>
      <color indexed="81"/>
      <name val="Tahoma"/>
      <family val="2"/>
      <charset val="161"/>
    </font>
    <font>
      <strike/>
      <sz val="11"/>
      <color theme="1"/>
      <name val="Calibri"/>
      <family val="2"/>
      <scheme val="minor"/>
    </font>
    <font>
      <b/>
      <sz val="12"/>
      <color rgb="FFFFFFFF"/>
      <name val="Calibri"/>
      <family val="2"/>
      <scheme val="minor"/>
    </font>
    <font>
      <b/>
      <sz val="11"/>
      <color theme="0"/>
      <name val="Calibri"/>
      <family val="2"/>
      <charset val="161"/>
      <scheme val="minor"/>
    </font>
    <font>
      <sz val="9"/>
      <color indexed="81"/>
      <name val="Tahoma"/>
      <family val="2"/>
    </font>
    <font>
      <b/>
      <sz val="9"/>
      <color indexed="81"/>
      <name val="Tahoma"/>
      <family val="2"/>
    </font>
    <font>
      <sz val="11"/>
      <color rgb="FF000000"/>
      <name val="Calibri"/>
    </font>
  </fonts>
  <fills count="31">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EB6B0"/>
        <bgColor indexed="64"/>
      </patternFill>
    </fill>
    <fill>
      <patternFill patternType="solid">
        <fgColor rgb="FFF7F8CC"/>
        <bgColor indexed="64"/>
      </patternFill>
    </fill>
    <fill>
      <patternFill patternType="solid">
        <fgColor rgb="FF00B050"/>
        <bgColor indexed="64"/>
      </patternFill>
    </fill>
    <fill>
      <patternFill patternType="solid">
        <fgColor rgb="FF99FF99"/>
        <bgColor indexed="64"/>
      </patternFill>
    </fill>
    <fill>
      <patternFill patternType="solid">
        <fgColor rgb="FF996633"/>
        <bgColor indexed="64"/>
      </patternFill>
    </fill>
    <fill>
      <patternFill patternType="solid">
        <fgColor rgb="FFC58A4F"/>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rgb="FFC7F5B5"/>
        <bgColor indexed="64"/>
      </patternFill>
    </fill>
    <fill>
      <patternFill patternType="solid">
        <fgColor indexed="44"/>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rgb="FF3E8AAC"/>
        <bgColor indexed="64"/>
      </patternFill>
    </fill>
    <fill>
      <patternFill patternType="solid">
        <fgColor rgb="FF94C3D8"/>
        <bgColor indexed="64"/>
      </patternFill>
    </fill>
    <fill>
      <patternFill patternType="solid">
        <fgColor rgb="FFFFC000"/>
        <bgColor indexed="64"/>
      </patternFill>
    </fill>
    <fill>
      <patternFill patternType="solid">
        <fgColor rgb="FFFAE486"/>
        <bgColor indexed="64"/>
      </patternFill>
    </fill>
    <fill>
      <patternFill patternType="solid">
        <fgColor rgb="FF9999FF"/>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ck">
        <color indexed="64"/>
      </top>
      <bottom/>
      <diagonal/>
    </border>
    <border>
      <left style="thick">
        <color indexed="64"/>
      </left>
      <right style="thin">
        <color indexed="64"/>
      </right>
      <top/>
      <bottom style="thick">
        <color indexed="64"/>
      </bottom>
      <diagonal/>
    </border>
    <border>
      <left style="thin">
        <color indexed="64"/>
      </left>
      <right/>
      <top style="thick">
        <color indexed="64"/>
      </top>
      <bottom/>
      <diagonal/>
    </border>
    <border>
      <left style="thin">
        <color indexed="64"/>
      </left>
      <right/>
      <top/>
      <bottom style="thick">
        <color indexed="64"/>
      </bottom>
      <diagonal/>
    </border>
    <border>
      <left style="thick">
        <color indexed="64"/>
      </left>
      <right style="thick">
        <color indexed="64"/>
      </right>
      <top style="thick">
        <color indexed="64"/>
      </top>
      <bottom/>
      <diagonal/>
    </border>
    <border>
      <left style="thin">
        <color indexed="64"/>
      </left>
      <right/>
      <top style="thick">
        <color indexed="64"/>
      </top>
      <bottom style="thin">
        <color indexed="64"/>
      </bottom>
      <diagonal/>
    </border>
    <border>
      <left style="thick">
        <color indexed="64"/>
      </left>
      <right style="thick">
        <color indexed="64"/>
      </right>
      <top/>
      <bottom/>
      <diagonal/>
    </border>
    <border>
      <left style="thin">
        <color indexed="64"/>
      </left>
      <right/>
      <top/>
      <bottom/>
      <diagonal/>
    </border>
  </borders>
  <cellStyleXfs count="1">
    <xf numFmtId="0" fontId="0" fillId="0" borderId="0"/>
  </cellStyleXfs>
  <cellXfs count="211">
    <xf numFmtId="0" fontId="0" fillId="0" borderId="0" xfId="0"/>
    <xf numFmtId="0" fontId="0" fillId="0" borderId="0" xfId="0" applyAlignment="1">
      <alignment horizontal="center" vertical="center"/>
    </xf>
    <xf numFmtId="0" fontId="2" fillId="0" borderId="0" xfId="0" applyFont="1" applyAlignment="1">
      <alignment horizontal="center"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0" borderId="3" xfId="0"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0" fillId="6" borderId="1" xfId="0" applyFill="1" applyBorder="1" applyAlignment="1">
      <alignment horizontal="center" vertical="center"/>
    </xf>
    <xf numFmtId="0" fontId="2" fillId="0" borderId="1" xfId="0" applyFont="1" applyBorder="1" applyAlignment="1">
      <alignment horizontal="center" vertical="center"/>
    </xf>
    <xf numFmtId="0" fontId="0" fillId="0" borderId="1" xfId="0" applyBorder="1"/>
    <xf numFmtId="0" fontId="0" fillId="0" borderId="0" xfId="0" applyAlignment="1">
      <alignment vertical="center"/>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3" borderId="4"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0" fontId="0" fillId="0" borderId="1" xfId="0" quotePrefix="1" applyBorder="1" applyAlignment="1">
      <alignment horizontal="center" vertical="center"/>
    </xf>
    <xf numFmtId="0" fontId="6" fillId="0" borderId="1" xfId="0" applyFont="1" applyBorder="1" applyAlignment="1">
      <alignment horizontal="center" vertical="center"/>
    </xf>
    <xf numFmtId="0" fontId="4" fillId="5" borderId="1" xfId="0" applyFont="1" applyFill="1" applyBorder="1" applyAlignment="1">
      <alignment horizontal="center" vertical="center"/>
    </xf>
    <xf numFmtId="0" fontId="7" fillId="4" borderId="1" xfId="0" applyFont="1" applyFill="1" applyBorder="1" applyAlignment="1">
      <alignment horizontal="center" vertical="center"/>
    </xf>
    <xf numFmtId="0" fontId="7" fillId="9" borderId="2" xfId="0" applyFont="1" applyFill="1" applyBorder="1" applyAlignment="1">
      <alignment horizontal="center" vertical="center"/>
    </xf>
    <xf numFmtId="0" fontId="0" fillId="0" borderId="1" xfId="0" applyBorder="1" applyAlignment="1">
      <alignment horizontal="center" vertical="center" wrapText="1"/>
    </xf>
    <xf numFmtId="0" fontId="0" fillId="0" borderId="8" xfId="0" applyBorder="1"/>
    <xf numFmtId="0" fontId="2" fillId="15" borderId="1" xfId="0" applyFont="1" applyFill="1" applyBorder="1" applyAlignment="1">
      <alignment horizontal="center" vertical="center" wrapText="1"/>
    </xf>
    <xf numFmtId="0" fontId="2" fillId="13" borderId="4"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22" borderId="1" xfId="0" applyFont="1" applyFill="1" applyBorder="1" applyAlignment="1">
      <alignment horizontal="center" vertical="center" wrapText="1"/>
    </xf>
    <xf numFmtId="0" fontId="0" fillId="23" borderId="0" xfId="0" applyFill="1" applyAlignment="1">
      <alignment horizontal="center" vertical="center"/>
    </xf>
    <xf numFmtId="0" fontId="0" fillId="23" borderId="0" xfId="0" applyFill="1"/>
    <xf numFmtId="0" fontId="3" fillId="0" borderId="1" xfId="0" applyFont="1" applyBorder="1" applyAlignment="1">
      <alignment vertical="center"/>
    </xf>
    <xf numFmtId="0" fontId="3" fillId="25" borderId="1" xfId="0" applyFont="1" applyFill="1" applyBorder="1" applyAlignment="1">
      <alignment horizontal="center" vertical="center"/>
    </xf>
    <xf numFmtId="0" fontId="7" fillId="0" borderId="1" xfId="0" applyFont="1" applyBorder="1" applyAlignment="1">
      <alignment horizontal="center" vertical="center"/>
    </xf>
    <xf numFmtId="0" fontId="7" fillId="0" borderId="3" xfId="0" applyFont="1" applyBorder="1" applyAlignment="1">
      <alignment horizontal="center" vertical="center"/>
    </xf>
    <xf numFmtId="0" fontId="11" fillId="0" borderId="1" xfId="0" applyFont="1" applyBorder="1" applyAlignment="1">
      <alignment horizontal="center" vertical="center"/>
    </xf>
    <xf numFmtId="0" fontId="4" fillId="8" borderId="2" xfId="0" applyFont="1" applyFill="1" applyBorder="1" applyAlignment="1">
      <alignment horizontal="right" vertical="center"/>
    </xf>
    <xf numFmtId="164" fontId="4" fillId="8" borderId="3" xfId="0" applyNumberFormat="1" applyFont="1" applyFill="1" applyBorder="1" applyAlignment="1">
      <alignment horizontal="left" vertical="center"/>
    </xf>
    <xf numFmtId="0" fontId="12" fillId="0" borderId="0" xfId="0" applyFont="1" applyAlignment="1">
      <alignment horizontal="center" vertical="center"/>
    </xf>
    <xf numFmtId="0" fontId="0" fillId="0" borderId="3" xfId="0" quotePrefix="1" applyBorder="1" applyAlignment="1">
      <alignment vertical="center"/>
    </xf>
    <xf numFmtId="0" fontId="0" fillId="0" borderId="1" xfId="0" quotePrefix="1" applyBorder="1" applyAlignment="1">
      <alignment vertical="center"/>
    </xf>
    <xf numFmtId="0" fontId="3" fillId="0" borderId="1" xfId="0" applyFont="1" applyBorder="1" applyAlignment="1">
      <alignment horizontal="center" vertical="center"/>
    </xf>
    <xf numFmtId="0" fontId="0" fillId="2" borderId="14" xfId="0" applyFill="1" applyBorder="1" applyAlignment="1">
      <alignment horizontal="center" vertical="center"/>
    </xf>
    <xf numFmtId="0" fontId="0" fillId="2" borderId="20" xfId="0" applyFill="1" applyBorder="1" applyAlignment="1">
      <alignment horizontal="center" vertical="center"/>
    </xf>
    <xf numFmtId="0" fontId="0" fillId="0" borderId="22" xfId="0" applyBorder="1" applyAlignment="1">
      <alignment horizontal="center" vertical="center"/>
    </xf>
    <xf numFmtId="0" fontId="0" fillId="2" borderId="22" xfId="0" applyFill="1" applyBorder="1" applyAlignment="1">
      <alignment horizontal="center" vertical="center"/>
    </xf>
    <xf numFmtId="0" fontId="2" fillId="3" borderId="17" xfId="0" applyFont="1" applyFill="1" applyBorder="1" applyAlignment="1">
      <alignment horizontal="center" vertical="center"/>
    </xf>
    <xf numFmtId="0" fontId="2" fillId="3" borderId="24" xfId="0" applyFont="1" applyFill="1" applyBorder="1" applyAlignment="1">
      <alignment horizontal="center" vertical="center"/>
    </xf>
    <xf numFmtId="0" fontId="2" fillId="3" borderId="25" xfId="0" applyFont="1" applyFill="1" applyBorder="1" applyAlignment="1">
      <alignment horizontal="center" vertical="center"/>
    </xf>
    <xf numFmtId="0" fontId="0" fillId="2" borderId="21" xfId="0" applyFill="1" applyBorder="1" applyAlignment="1">
      <alignment horizontal="center" vertical="center"/>
    </xf>
    <xf numFmtId="0" fontId="0" fillId="0" borderId="23" xfId="0" applyBorder="1" applyAlignment="1">
      <alignment horizontal="center" vertical="center"/>
    </xf>
    <xf numFmtId="0" fontId="0" fillId="2" borderId="23" xfId="0" applyFill="1" applyBorder="1" applyAlignment="1">
      <alignment horizontal="center" vertical="center"/>
    </xf>
    <xf numFmtId="0" fontId="0" fillId="6" borderId="22" xfId="0" applyFill="1" applyBorder="1" applyAlignment="1">
      <alignment horizontal="center" vertical="center"/>
    </xf>
    <xf numFmtId="0" fontId="0" fillId="2" borderId="29" xfId="0" applyFill="1" applyBorder="1" applyAlignment="1">
      <alignment horizontal="center" vertical="center"/>
    </xf>
    <xf numFmtId="0" fontId="0" fillId="2" borderId="4" xfId="0" applyFill="1" applyBorder="1" applyAlignment="1">
      <alignment horizontal="center" vertical="center"/>
    </xf>
    <xf numFmtId="0" fontId="0" fillId="2" borderId="30" xfId="0" applyFill="1" applyBorder="1" applyAlignment="1">
      <alignment horizontal="center" vertical="center"/>
    </xf>
    <xf numFmtId="0" fontId="0" fillId="0" borderId="17"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2" borderId="36" xfId="0" applyFill="1" applyBorder="1" applyAlignment="1">
      <alignment horizontal="center" vertical="center"/>
    </xf>
    <xf numFmtId="0" fontId="4" fillId="2" borderId="21" xfId="0" applyFont="1" applyFill="1" applyBorder="1" applyAlignment="1">
      <alignment horizontal="center" vertical="center"/>
    </xf>
    <xf numFmtId="0" fontId="4" fillId="8" borderId="23" xfId="0" applyFont="1" applyFill="1" applyBorder="1" applyAlignment="1">
      <alignment horizontal="center" vertical="center"/>
    </xf>
    <xf numFmtId="0" fontId="4" fillId="2" borderId="23" xfId="0" applyFont="1" applyFill="1" applyBorder="1" applyAlignment="1">
      <alignment horizontal="center" vertical="center"/>
    </xf>
    <xf numFmtId="0" fontId="4" fillId="2" borderId="30" xfId="0" applyFont="1" applyFill="1" applyBorder="1" applyAlignment="1">
      <alignment horizontal="center" vertical="center"/>
    </xf>
    <xf numFmtId="0" fontId="4" fillId="8" borderId="25" xfId="0" applyFont="1" applyFill="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0" fontId="13" fillId="0" borderId="0" xfId="0" applyFont="1"/>
    <xf numFmtId="0" fontId="14" fillId="0" borderId="0" xfId="0" applyFont="1" applyAlignment="1">
      <alignment horizontal="center" vertical="center"/>
    </xf>
    <xf numFmtId="0" fontId="0" fillId="0" borderId="1" xfId="0" quotePrefix="1" applyBorder="1" applyAlignment="1">
      <alignment horizontal="center" vertical="center" wrapText="1"/>
    </xf>
    <xf numFmtId="0" fontId="3" fillId="8" borderId="2" xfId="0" applyFont="1" applyFill="1" applyBorder="1" applyAlignment="1">
      <alignment vertical="center"/>
    </xf>
    <xf numFmtId="0" fontId="3" fillId="8" borderId="6" xfId="0" applyFont="1" applyFill="1" applyBorder="1" applyAlignment="1">
      <alignment vertical="center"/>
    </xf>
    <xf numFmtId="0" fontId="3" fillId="8" borderId="3" xfId="0" applyFont="1" applyFill="1" applyBorder="1" applyAlignment="1">
      <alignment vertical="center"/>
    </xf>
    <xf numFmtId="0" fontId="0" fillId="8" borderId="1" xfId="0" applyFill="1" applyBorder="1" applyAlignment="1">
      <alignment horizontal="center" vertical="center"/>
    </xf>
    <xf numFmtId="0" fontId="12" fillId="0" borderId="0" xfId="0" applyFont="1"/>
    <xf numFmtId="0" fontId="2" fillId="29" borderId="1" xfId="0" applyFont="1" applyFill="1" applyBorder="1" applyAlignment="1">
      <alignment horizontal="center" vertical="center"/>
    </xf>
    <xf numFmtId="0" fontId="2" fillId="0" borderId="1" xfId="0" applyFont="1" applyBorder="1" applyAlignment="1">
      <alignment horizontal="center" vertical="center" wrapText="1"/>
    </xf>
    <xf numFmtId="0" fontId="3" fillId="0" borderId="5" xfId="0" applyFont="1" applyBorder="1" applyAlignment="1">
      <alignment horizontal="center" vertical="center"/>
    </xf>
    <xf numFmtId="165"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167" fontId="0" fillId="0" borderId="1" xfId="0" applyNumberFormat="1" applyBorder="1" applyAlignment="1">
      <alignment horizontal="center" vertical="center" wrapText="1"/>
    </xf>
    <xf numFmtId="0" fontId="3" fillId="0" borderId="0" xfId="0" applyFont="1" applyAlignment="1">
      <alignment horizontal="center" vertical="center"/>
    </xf>
    <xf numFmtId="168" fontId="0" fillId="0" borderId="1" xfId="0" applyNumberFormat="1" applyBorder="1" applyAlignment="1">
      <alignment horizontal="center" vertical="center" wrapText="1"/>
    </xf>
    <xf numFmtId="169" fontId="0" fillId="0" borderId="1" xfId="0" applyNumberFormat="1" applyBorder="1" applyAlignment="1">
      <alignment horizontal="center" vertical="center"/>
    </xf>
    <xf numFmtId="0" fontId="2" fillId="19" borderId="1" xfId="0" applyFont="1" applyFill="1" applyBorder="1" applyAlignment="1">
      <alignment horizontal="center" vertical="center"/>
    </xf>
    <xf numFmtId="0" fontId="0" fillId="0" borderId="7" xfId="0" applyBorder="1"/>
    <xf numFmtId="0" fontId="3" fillId="0" borderId="0" xfId="0" applyFont="1" applyAlignment="1">
      <alignment horizontal="center" vertical="center" wrapText="1"/>
    </xf>
    <xf numFmtId="0" fontId="2" fillId="2" borderId="20"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0" borderId="24" xfId="0" applyFont="1" applyBorder="1" applyAlignment="1">
      <alignment horizontal="center" vertical="center"/>
    </xf>
    <xf numFmtId="0" fontId="2" fillId="0" borderId="13" xfId="0" applyFont="1" applyBorder="1" applyAlignment="1">
      <alignment horizontal="center" vertical="center"/>
    </xf>
    <xf numFmtId="0" fontId="9" fillId="0" borderId="1" xfId="0" applyFont="1" applyBorder="1" applyAlignment="1">
      <alignment horizontal="center" vertical="center"/>
    </xf>
    <xf numFmtId="0" fontId="0" fillId="0" borderId="4" xfId="0" applyBorder="1" applyAlignment="1">
      <alignment horizontal="center" vertical="center"/>
    </xf>
    <xf numFmtId="0" fontId="2" fillId="0" borderId="4" xfId="0"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4" fillId="8" borderId="30" xfId="0" applyFont="1" applyFill="1" applyBorder="1" applyAlignment="1">
      <alignment horizontal="center" vertical="center"/>
    </xf>
    <xf numFmtId="0" fontId="4" fillId="0" borderId="30" xfId="0" applyFont="1" applyBorder="1" applyAlignment="1">
      <alignment horizontal="center" vertical="center"/>
    </xf>
    <xf numFmtId="0" fontId="0" fillId="0" borderId="1" xfId="0" applyBorder="1" applyAlignment="1">
      <alignment wrapText="1"/>
    </xf>
    <xf numFmtId="0" fontId="0" fillId="0" borderId="1" xfId="0" applyBorder="1" applyAlignment="1">
      <alignment horizontal="center"/>
    </xf>
    <xf numFmtId="0" fontId="5" fillId="8" borderId="1" xfId="0" applyFont="1" applyFill="1" applyBorder="1" applyAlignment="1">
      <alignment horizontal="center"/>
    </xf>
    <xf numFmtId="0" fontId="3" fillId="0" borderId="1" xfId="0" applyFont="1" applyBorder="1" applyAlignment="1">
      <alignment horizontal="center" vertical="center"/>
    </xf>
    <xf numFmtId="0" fontId="0" fillId="0" borderId="0" xfId="0" applyAlignment="1">
      <alignment horizontal="center"/>
    </xf>
    <xf numFmtId="0" fontId="7" fillId="16" borderId="1" xfId="0" applyFont="1" applyFill="1" applyBorder="1" applyAlignment="1">
      <alignment horizontal="center"/>
    </xf>
    <xf numFmtId="0" fontId="2" fillId="17" borderId="1" xfId="0" applyFont="1" applyFill="1" applyBorder="1" applyAlignment="1">
      <alignment horizontal="center"/>
    </xf>
    <xf numFmtId="0" fontId="0" fillId="0" borderId="1" xfId="0" quotePrefix="1" applyBorder="1" applyAlignment="1">
      <alignment horizontal="center"/>
    </xf>
    <xf numFmtId="0" fontId="3" fillId="26" borderId="1" xfId="0" applyFont="1" applyFill="1" applyBorder="1" applyAlignment="1">
      <alignment horizontal="center"/>
    </xf>
    <xf numFmtId="0" fontId="3" fillId="27" borderId="1" xfId="0" applyFont="1" applyFill="1" applyBorder="1" applyAlignment="1">
      <alignment horizontal="center"/>
    </xf>
    <xf numFmtId="0" fontId="9" fillId="0" borderId="1" xfId="0" applyFont="1" applyBorder="1" applyAlignment="1">
      <alignment horizontal="center"/>
    </xf>
    <xf numFmtId="0" fontId="2" fillId="0" borderId="8" xfId="0" applyFont="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9" fillId="0" borderId="3" xfId="0" applyFont="1"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0" fillId="0" borderId="3" xfId="0" applyBorder="1" applyAlignment="1">
      <alignment horizontal="center"/>
    </xf>
    <xf numFmtId="0" fontId="0" fillId="0" borderId="1" xfId="0" applyBorder="1" applyAlignment="1">
      <alignment horizontal="center" vertical="center"/>
    </xf>
    <xf numFmtId="0" fontId="3" fillId="0" borderId="9" xfId="0" applyFont="1" applyBorder="1" applyAlignment="1">
      <alignment horizontal="center" vertical="center"/>
    </xf>
    <xf numFmtId="0" fontId="3" fillId="0" borderId="7"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4" fillId="20" borderId="1" xfId="0" applyFont="1" applyFill="1" applyBorder="1" applyAlignment="1">
      <alignment horizontal="center" vertical="center" wrapText="1"/>
    </xf>
    <xf numFmtId="0" fontId="4" fillId="0" borderId="1" xfId="0" applyFont="1" applyBorder="1" applyAlignment="1">
      <alignment horizontal="center" vertical="center"/>
    </xf>
    <xf numFmtId="0" fontId="18" fillId="0" borderId="7" xfId="0" applyFont="1" applyBorder="1" applyAlignment="1">
      <alignment horizontal="center" vertical="center"/>
    </xf>
    <xf numFmtId="0" fontId="7" fillId="25" borderId="2" xfId="0" applyFont="1" applyFill="1" applyBorder="1" applyAlignment="1">
      <alignment horizontal="center" vertical="center"/>
    </xf>
    <xf numFmtId="0" fontId="7" fillId="25" borderId="6" xfId="0" applyFont="1" applyFill="1" applyBorder="1" applyAlignment="1">
      <alignment horizontal="center" vertical="center"/>
    </xf>
    <xf numFmtId="0" fontId="7" fillId="25" borderId="3" xfId="0" applyFont="1" applyFill="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3" xfId="0" applyFont="1" applyBorder="1" applyAlignment="1">
      <alignment horizontal="center" vertical="center"/>
    </xf>
    <xf numFmtId="0" fontId="7" fillId="6" borderId="2" xfId="0" applyFont="1" applyFill="1" applyBorder="1" applyAlignment="1">
      <alignment horizontal="center" vertical="center"/>
    </xf>
    <xf numFmtId="0" fontId="7" fillId="6" borderId="6" xfId="0" applyFont="1" applyFill="1" applyBorder="1" applyAlignment="1">
      <alignment horizontal="center" vertical="center"/>
    </xf>
    <xf numFmtId="0" fontId="7" fillId="6" borderId="3" xfId="0" applyFont="1" applyFill="1" applyBorder="1" applyAlignment="1">
      <alignment horizontal="center" vertical="center"/>
    </xf>
    <xf numFmtId="0" fontId="5" fillId="0" borderId="4" xfId="0" applyFont="1" applyBorder="1" applyAlignment="1">
      <alignment horizontal="center" vertical="center"/>
    </xf>
    <xf numFmtId="0" fontId="2" fillId="0" borderId="1" xfId="0" applyFont="1" applyBorder="1" applyAlignment="1">
      <alignment horizontal="center" vertical="center"/>
    </xf>
    <xf numFmtId="0" fontId="5" fillId="0" borderId="2" xfId="0" applyFont="1" applyBorder="1" applyAlignment="1">
      <alignment horizontal="center"/>
    </xf>
    <xf numFmtId="0" fontId="5" fillId="0" borderId="6" xfId="0" applyFont="1" applyBorder="1" applyAlignment="1">
      <alignment horizontal="center"/>
    </xf>
    <xf numFmtId="0" fontId="5" fillId="0" borderId="3" xfId="0" applyFont="1" applyBorder="1" applyAlignment="1">
      <alignment horizontal="center"/>
    </xf>
    <xf numFmtId="0" fontId="7" fillId="7" borderId="1" xfId="0" applyFont="1" applyFill="1" applyBorder="1" applyAlignment="1">
      <alignment horizontal="center" vertical="center"/>
    </xf>
    <xf numFmtId="0" fontId="7" fillId="11" borderId="2" xfId="0" applyFont="1" applyFill="1" applyBorder="1" applyAlignment="1">
      <alignment horizontal="center" vertical="center"/>
    </xf>
    <xf numFmtId="0" fontId="7" fillId="11" borderId="6" xfId="0" applyFont="1" applyFill="1" applyBorder="1" applyAlignment="1">
      <alignment horizontal="center" vertical="center"/>
    </xf>
    <xf numFmtId="0" fontId="7" fillId="28" borderId="1" xfId="0" applyFont="1" applyFill="1" applyBorder="1" applyAlignment="1">
      <alignment horizontal="center"/>
    </xf>
    <xf numFmtId="0" fontId="5" fillId="0" borderId="1" xfId="0" applyFont="1" applyBorder="1" applyAlignment="1">
      <alignment horizontal="center"/>
    </xf>
    <xf numFmtId="0" fontId="0" fillId="0" borderId="38" xfId="0" applyBorder="1" applyAlignment="1">
      <alignment horizontal="center"/>
    </xf>
    <xf numFmtId="0" fontId="7" fillId="9" borderId="2" xfId="0" applyFont="1" applyFill="1" applyBorder="1" applyAlignment="1">
      <alignment horizontal="center" vertical="center"/>
    </xf>
    <xf numFmtId="0" fontId="7" fillId="9" borderId="3" xfId="0" applyFont="1" applyFill="1" applyBorder="1" applyAlignment="1">
      <alignment horizontal="center" vertical="center"/>
    </xf>
    <xf numFmtId="0" fontId="10" fillId="24" borderId="1" xfId="0" applyFont="1" applyFill="1" applyBorder="1" applyAlignment="1">
      <alignment horizontal="center"/>
    </xf>
    <xf numFmtId="0" fontId="7" fillId="14" borderId="1" xfId="0" applyFont="1"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2" fillId="11" borderId="2" xfId="0" applyFont="1" applyFill="1" applyBorder="1" applyAlignment="1">
      <alignment horizontal="center" vertical="center"/>
    </xf>
    <xf numFmtId="0" fontId="2" fillId="11" borderId="3" xfId="0" applyFont="1" applyFill="1" applyBorder="1" applyAlignment="1">
      <alignment horizontal="center" vertical="center"/>
    </xf>
    <xf numFmtId="0" fontId="7" fillId="21" borderId="1" xfId="0" applyFont="1" applyFill="1" applyBorder="1" applyAlignment="1">
      <alignment horizontal="center" vertical="center"/>
    </xf>
    <xf numFmtId="0" fontId="7" fillId="10" borderId="2"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3" xfId="0" applyFont="1" applyFill="1" applyBorder="1" applyAlignment="1">
      <alignment horizontal="center" vertical="center"/>
    </xf>
    <xf numFmtId="0" fontId="2" fillId="19" borderId="2" xfId="0" applyFont="1" applyFill="1" applyBorder="1" applyAlignment="1">
      <alignment horizontal="center" vertical="center"/>
    </xf>
    <xf numFmtId="0" fontId="2" fillId="19" borderId="6" xfId="0" applyFont="1" applyFill="1" applyBorder="1" applyAlignment="1">
      <alignment horizontal="center" vertical="center"/>
    </xf>
    <xf numFmtId="0" fontId="2" fillId="19" borderId="3" xfId="0" applyFont="1" applyFill="1" applyBorder="1" applyAlignment="1">
      <alignment horizontal="center" vertical="center"/>
    </xf>
    <xf numFmtId="0" fontId="7" fillId="18" borderId="2" xfId="0" applyFont="1" applyFill="1" applyBorder="1" applyAlignment="1">
      <alignment horizontal="center" vertical="center"/>
    </xf>
    <xf numFmtId="0" fontId="7" fillId="18" borderId="6" xfId="0" applyFont="1" applyFill="1" applyBorder="1" applyAlignment="1">
      <alignment horizontal="center" vertical="center"/>
    </xf>
    <xf numFmtId="0" fontId="7" fillId="18" borderId="3"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2" fillId="0" borderId="2" xfId="0" applyFont="1" applyBorder="1" applyAlignment="1">
      <alignment horizontal="center"/>
    </xf>
    <xf numFmtId="0" fontId="2" fillId="0" borderId="3" xfId="0" applyFont="1" applyBorder="1" applyAlignment="1">
      <alignment horizontal="center"/>
    </xf>
    <xf numFmtId="0" fontId="9" fillId="0" borderId="2" xfId="0" applyFont="1" applyBorder="1" applyAlignment="1">
      <alignment horizontal="center" vertical="center"/>
    </xf>
    <xf numFmtId="0" fontId="9" fillId="0" borderId="6" xfId="0" applyFont="1" applyBorder="1" applyAlignment="1">
      <alignment horizontal="center" vertical="center"/>
    </xf>
    <xf numFmtId="0" fontId="9" fillId="0" borderId="3" xfId="0" applyFont="1" applyBorder="1" applyAlignment="1">
      <alignment horizontal="center" vertical="center"/>
    </xf>
    <xf numFmtId="0" fontId="3" fillId="25" borderId="2" xfId="0" applyFont="1" applyFill="1" applyBorder="1" applyAlignment="1">
      <alignment horizontal="center"/>
    </xf>
    <xf numFmtId="0" fontId="3" fillId="25" borderId="6" xfId="0" applyFont="1" applyFill="1" applyBorder="1" applyAlignment="1">
      <alignment horizontal="center"/>
    </xf>
    <xf numFmtId="0" fontId="3" fillId="25" borderId="3" xfId="0" applyFont="1" applyFill="1" applyBorder="1" applyAlignment="1">
      <alignment horizontal="center"/>
    </xf>
    <xf numFmtId="0" fontId="3" fillId="25" borderId="1"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4"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4" borderId="35" xfId="0" applyFont="1" applyFill="1" applyBorder="1" applyAlignment="1">
      <alignment horizontal="center" vertical="center" wrapText="1"/>
    </xf>
    <xf numFmtId="0" fontId="2" fillId="4" borderId="37"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16" xfId="0" applyFont="1" applyFill="1" applyBorder="1" applyAlignment="1">
      <alignment horizontal="center" vertical="center" wrapText="1"/>
    </xf>
    <xf numFmtId="0" fontId="2" fillId="5" borderId="19" xfId="0" applyFont="1" applyFill="1" applyBorder="1" applyAlignment="1">
      <alignment horizontal="center" vertical="center" wrapText="1"/>
    </xf>
    <xf numFmtId="0" fontId="2" fillId="5" borderId="31" xfId="0" applyFont="1" applyFill="1" applyBorder="1" applyAlignment="1">
      <alignment horizontal="center" vertical="center" wrapText="1"/>
    </xf>
    <xf numFmtId="0" fontId="2" fillId="5" borderId="32" xfId="0" applyFont="1" applyFill="1" applyBorder="1" applyAlignment="1">
      <alignment horizontal="center" vertical="center" wrapText="1"/>
    </xf>
    <xf numFmtId="0" fontId="2" fillId="3" borderId="15" xfId="0" applyFont="1" applyFill="1" applyBorder="1" applyAlignment="1">
      <alignment horizontal="center" vertical="center"/>
    </xf>
    <xf numFmtId="0" fontId="2" fillId="3" borderId="18"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19" xfId="0" applyFont="1" applyFill="1" applyBorder="1" applyAlignment="1">
      <alignment horizontal="center" vertical="center"/>
    </xf>
    <xf numFmtId="0" fontId="2" fillId="6" borderId="33" xfId="0" applyFont="1" applyFill="1" applyBorder="1" applyAlignment="1">
      <alignment horizontal="center" vertical="center" wrapText="1"/>
    </xf>
    <xf numFmtId="0" fontId="2" fillId="6" borderId="34"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9" fillId="0" borderId="38" xfId="0" applyFont="1" applyBorder="1" applyAlignment="1">
      <alignment horizontal="center" vertical="center"/>
    </xf>
    <xf numFmtId="0" fontId="19" fillId="0" borderId="0" xfId="0" applyFont="1" applyAlignment="1">
      <alignment horizontal="center" vertical="center"/>
    </xf>
    <xf numFmtId="0" fontId="5" fillId="30" borderId="1" xfId="0" applyFont="1" applyFill="1" applyBorder="1" applyAlignment="1">
      <alignment horizontal="center" vertical="center"/>
    </xf>
    <xf numFmtId="0" fontId="17" fillId="0" borderId="1" xfId="0" applyFont="1" applyBorder="1" applyAlignment="1">
      <alignment horizontal="center" vertical="center"/>
    </xf>
    <xf numFmtId="0" fontId="0" fillId="0" borderId="2" xfId="0" quotePrefix="1" applyBorder="1" applyAlignment="1">
      <alignment horizontal="center" vertical="center" wrapText="1"/>
    </xf>
    <xf numFmtId="0" fontId="0" fillId="0" borderId="3" xfId="0" quotePrefix="1" applyBorder="1" applyAlignment="1">
      <alignment horizontal="center" vertical="center" wrapText="1"/>
    </xf>
    <xf numFmtId="0" fontId="7" fillId="3" borderId="1" xfId="0" applyFont="1" applyFill="1" applyBorder="1" applyAlignment="1">
      <alignment horizontal="center"/>
    </xf>
  </cellXfs>
  <cellStyles count="1">
    <cellStyle name="Normal" xfId="0" builtinId="0"/>
  </cellStyles>
  <dxfs count="20">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patternType="solid">
          <fgColor auto="1"/>
          <bgColor rgb="FF92D050"/>
        </patternFill>
      </fill>
    </dxf>
    <dxf>
      <fill>
        <patternFill>
          <bgColor rgb="FFFFFF00"/>
        </patternFill>
      </fill>
    </dxf>
    <dxf>
      <fill>
        <patternFill patternType="solid">
          <fgColor auto="1"/>
          <bgColor rgb="FF92D050"/>
        </patternFill>
      </fill>
    </dxf>
    <dxf>
      <fill>
        <patternFill>
          <bgColor rgb="FFFFFF00"/>
        </patternFill>
      </fill>
    </dxf>
    <dxf>
      <fill>
        <patternFill>
          <bgColor rgb="FFEC5B34"/>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patternType="solid">
          <fgColor auto="1"/>
          <bgColor rgb="FF92D050"/>
        </patternFill>
      </fill>
    </dxf>
    <dxf>
      <fill>
        <patternFill>
          <bgColor rgb="FFFFFF00"/>
        </patternFill>
      </fill>
    </dxf>
    <dxf>
      <fill>
        <patternFill patternType="solid">
          <fgColor auto="1"/>
          <bgColor rgb="FF92D050"/>
        </patternFill>
      </fill>
    </dxf>
    <dxf>
      <fill>
        <patternFill>
          <bgColor theme="0"/>
        </patternFill>
      </fill>
    </dxf>
    <dxf>
      <fill>
        <patternFill>
          <bgColor rgb="FFFFFF00"/>
        </patternFill>
      </fill>
    </dxf>
    <dxf>
      <fill>
        <patternFill patternType="solid">
          <fgColor auto="1"/>
          <bgColor rgb="FF92D050"/>
        </patternFill>
      </fill>
    </dxf>
    <dxf>
      <fill>
        <patternFill>
          <bgColor rgb="FFFFFF00"/>
        </patternFill>
      </fill>
    </dxf>
  </dxfs>
  <tableStyles count="0" defaultTableStyle="TableStyleMedium2" defaultPivotStyle="PivotStyleMedium9"/>
  <colors>
    <mruColors>
      <color rgb="FFEC5B34"/>
      <color rgb="FFFF0066"/>
      <color rgb="FF9999FF"/>
      <color rgb="FFFB5F5F"/>
      <color rgb="FFF16986"/>
      <color rgb="FF94C3D8"/>
      <color rgb="FF1FE185"/>
      <color rgb="FF00CC66"/>
      <color rgb="FFCC00FF"/>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3</xdr:row>
          <xdr:rowOff>0</xdr:rowOff>
        </xdr:from>
        <xdr:to>
          <xdr:col>22</xdr:col>
          <xdr:colOff>9525</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Bestial Mutagen - 1 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3</xdr:row>
          <xdr:rowOff>0</xdr:rowOff>
        </xdr:from>
        <xdr:to>
          <xdr:col>25</xdr:col>
          <xdr:colOff>9525</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Bestial Mutagen - 2 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590550</xdr:colOff>
          <xdr:row>3</xdr:row>
          <xdr:rowOff>0</xdr:rowOff>
        </xdr:from>
        <xdr:to>
          <xdr:col>28</xdr:col>
          <xdr:colOff>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Bestial Mutagen -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22</xdr:col>
          <xdr:colOff>9525</xdr:colOff>
          <xdr:row>9</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Drakeheart Mutagen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6</xdr:row>
          <xdr:rowOff>190500</xdr:rowOff>
        </xdr:from>
        <xdr:to>
          <xdr:col>25</xdr:col>
          <xdr:colOff>9525</xdr:colOff>
          <xdr:row>8</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Drakeheart Mut.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14</xdr:row>
          <xdr:rowOff>0</xdr:rowOff>
        </xdr:from>
        <xdr:to>
          <xdr:col>21</xdr:col>
          <xdr:colOff>600075</xdr:colOff>
          <xdr:row>16</xdr:row>
          <xdr:rowOff>19050</xdr:rowOff>
        </xdr:to>
        <xdr:sp macro="" textlink="">
          <xdr:nvSpPr>
            <xdr:cNvPr id="1035" name="Button 11"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Heroism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13</xdr:row>
          <xdr:rowOff>180975</xdr:rowOff>
        </xdr:from>
        <xdr:to>
          <xdr:col>25</xdr:col>
          <xdr:colOff>0</xdr:colOff>
          <xdr:row>16</xdr:row>
          <xdr:rowOff>9525</xdr:rowOff>
        </xdr:to>
        <xdr:sp macro="" textlink="">
          <xdr:nvSpPr>
            <xdr:cNvPr id="1036" name="Button 12" hidden="1">
              <a:extLst>
                <a:ext uri="{63B3BB69-23CF-44E3-9099-C40C66FF867C}">
                  <a14:compatExt spid="_x0000_s1036"/>
                </a:ext>
                <a:ext uri="{FF2B5EF4-FFF2-40B4-BE49-F238E27FC236}">
                  <a16:creationId xmlns:a16="http://schemas.microsoft.com/office/drawing/2014/main" xmlns=""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Heroism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17</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27</xdr:row>
          <xdr:rowOff>9525</xdr:rowOff>
        </xdr:from>
        <xdr:to>
          <xdr:col>22</xdr:col>
          <xdr:colOff>600075</xdr:colOff>
          <xdr:row>28</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28</xdr:row>
          <xdr:rowOff>9525</xdr:rowOff>
        </xdr:from>
        <xdr:to>
          <xdr:col>22</xdr:col>
          <xdr:colOff>600075</xdr:colOff>
          <xdr:row>29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xmlns=""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29</xdr:row>
          <xdr:rowOff>9525</xdr:rowOff>
        </xdr:from>
        <xdr:to>
          <xdr:col>22</xdr:col>
          <xdr:colOff>600075</xdr:colOff>
          <xdr:row>30</xdr:row>
          <xdr:rowOff>9525</xdr:rowOff>
        </xdr:to>
        <xdr:sp macro="" textlink="">
          <xdr:nvSpPr>
            <xdr:cNvPr id="1040" name="Button 16" hidden="1">
              <a:extLst>
                <a:ext uri="{63B3BB69-23CF-44E3-9099-C40C66FF867C}">
                  <a14:compatExt spid="_x0000_s1040"/>
                </a:ext>
                <a:ext uri="{FF2B5EF4-FFF2-40B4-BE49-F238E27FC236}">
                  <a16:creationId xmlns:a16="http://schemas.microsoft.com/office/drawing/2014/main" xmlns=""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30</xdr:row>
          <xdr:rowOff>9525</xdr:rowOff>
        </xdr:from>
        <xdr:to>
          <xdr:col>22</xdr:col>
          <xdr:colOff>600075</xdr:colOff>
          <xdr:row>31</xdr:row>
          <xdr:rowOff>9525</xdr:rowOff>
        </xdr:to>
        <xdr:sp macro="" textlink="">
          <xdr:nvSpPr>
            <xdr:cNvPr id="1041" name="Button 17"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45</xdr:row>
          <xdr:rowOff>9525</xdr:rowOff>
        </xdr:from>
        <xdr:to>
          <xdr:col>22</xdr:col>
          <xdr:colOff>600075</xdr:colOff>
          <xdr:row>46</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35</xdr:row>
          <xdr:rowOff>9525</xdr:rowOff>
        </xdr:from>
        <xdr:to>
          <xdr:col>22</xdr:col>
          <xdr:colOff>600075</xdr:colOff>
          <xdr:row>36</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34</xdr:row>
          <xdr:rowOff>9525</xdr:rowOff>
        </xdr:from>
        <xdr:to>
          <xdr:col>22</xdr:col>
          <xdr:colOff>600075</xdr:colOff>
          <xdr:row>35</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33</xdr:row>
          <xdr:rowOff>9525</xdr:rowOff>
        </xdr:from>
        <xdr:to>
          <xdr:col>22</xdr:col>
          <xdr:colOff>600075</xdr:colOff>
          <xdr:row>34</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xmlns=""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32</xdr:row>
          <xdr:rowOff>28575</xdr:rowOff>
        </xdr:from>
        <xdr:to>
          <xdr:col>22</xdr:col>
          <xdr:colOff>600075</xdr:colOff>
          <xdr:row>33</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xmlns=""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31</xdr:row>
          <xdr:rowOff>9525</xdr:rowOff>
        </xdr:from>
        <xdr:to>
          <xdr:col>22</xdr:col>
          <xdr:colOff>600075</xdr:colOff>
          <xdr:row>32</xdr:row>
          <xdr:rowOff>9525</xdr:rowOff>
        </xdr:to>
        <xdr:sp macro="" textlink="">
          <xdr:nvSpPr>
            <xdr:cNvPr id="1047" name="Button 23" hidden="1">
              <a:extLst>
                <a:ext uri="{63B3BB69-23CF-44E3-9099-C40C66FF867C}">
                  <a14:compatExt spid="_x0000_s1047"/>
                </a:ext>
                <a:ext uri="{FF2B5EF4-FFF2-40B4-BE49-F238E27FC236}">
                  <a16:creationId xmlns:a16="http://schemas.microsoft.com/office/drawing/2014/main" xmlns=""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36</xdr:row>
          <xdr:rowOff>9525</xdr:rowOff>
        </xdr:from>
        <xdr:to>
          <xdr:col>22</xdr:col>
          <xdr:colOff>600075</xdr:colOff>
          <xdr:row>37</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xmlns=""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37</xdr:row>
          <xdr:rowOff>9525</xdr:rowOff>
        </xdr:from>
        <xdr:to>
          <xdr:col>22</xdr:col>
          <xdr:colOff>600075</xdr:colOff>
          <xdr:row>38</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xmlns=""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38</xdr:row>
          <xdr:rowOff>9525</xdr:rowOff>
        </xdr:from>
        <xdr:to>
          <xdr:col>22</xdr:col>
          <xdr:colOff>600075</xdr:colOff>
          <xdr:row>39</xdr:row>
          <xdr:rowOff>9525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xmlns=""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39</xdr:row>
          <xdr:rowOff>9525</xdr:rowOff>
        </xdr:from>
        <xdr:to>
          <xdr:col>22</xdr:col>
          <xdr:colOff>600075</xdr:colOff>
          <xdr:row>40</xdr:row>
          <xdr:rowOff>9525</xdr:rowOff>
        </xdr:to>
        <xdr:sp macro="" textlink="">
          <xdr:nvSpPr>
            <xdr:cNvPr id="1051" name="Button 27" hidden="1">
              <a:extLst>
                <a:ext uri="{63B3BB69-23CF-44E3-9099-C40C66FF867C}">
                  <a14:compatExt spid="_x0000_s1051"/>
                </a:ext>
                <a:ext uri="{FF2B5EF4-FFF2-40B4-BE49-F238E27FC236}">
                  <a16:creationId xmlns:a16="http://schemas.microsoft.com/office/drawing/2014/main" xmlns=""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40</xdr:row>
          <xdr:rowOff>9525</xdr:rowOff>
        </xdr:from>
        <xdr:to>
          <xdr:col>22</xdr:col>
          <xdr:colOff>600075</xdr:colOff>
          <xdr:row>41</xdr:row>
          <xdr:rowOff>9525</xdr:rowOff>
        </xdr:to>
        <xdr:sp macro="" textlink="">
          <xdr:nvSpPr>
            <xdr:cNvPr id="1052" name="Button 28" hidden="1">
              <a:extLst>
                <a:ext uri="{63B3BB69-23CF-44E3-9099-C40C66FF867C}">
                  <a14:compatExt spid="_x0000_s1052"/>
                </a:ext>
                <a:ext uri="{FF2B5EF4-FFF2-40B4-BE49-F238E27FC236}">
                  <a16:creationId xmlns:a16="http://schemas.microsoft.com/office/drawing/2014/main" xmlns=""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41</xdr:row>
          <xdr:rowOff>9525</xdr:rowOff>
        </xdr:from>
        <xdr:to>
          <xdr:col>22</xdr:col>
          <xdr:colOff>600075</xdr:colOff>
          <xdr:row>42</xdr:row>
          <xdr:rowOff>9525</xdr:rowOff>
        </xdr:to>
        <xdr:sp macro="" textlink="">
          <xdr:nvSpPr>
            <xdr:cNvPr id="1053" name="Button 29"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42</xdr:row>
          <xdr:rowOff>9525</xdr:rowOff>
        </xdr:from>
        <xdr:to>
          <xdr:col>22</xdr:col>
          <xdr:colOff>600075</xdr:colOff>
          <xdr:row>43</xdr:row>
          <xdr:rowOff>9525</xdr:rowOff>
        </xdr:to>
        <xdr:sp macro="" textlink="">
          <xdr:nvSpPr>
            <xdr:cNvPr id="1054" name="Button 30" hidden="1">
              <a:extLst>
                <a:ext uri="{63B3BB69-23CF-44E3-9099-C40C66FF867C}">
                  <a14:compatExt spid="_x0000_s1054"/>
                </a:ext>
                <a:ext uri="{FF2B5EF4-FFF2-40B4-BE49-F238E27FC236}">
                  <a16:creationId xmlns:a16="http://schemas.microsoft.com/office/drawing/2014/main" xmlns=""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43</xdr:row>
          <xdr:rowOff>9525</xdr:rowOff>
        </xdr:from>
        <xdr:to>
          <xdr:col>22</xdr:col>
          <xdr:colOff>600075</xdr:colOff>
          <xdr:row>44</xdr:row>
          <xdr:rowOff>9525</xdr:rowOff>
        </xdr:to>
        <xdr:sp macro="" textlink="">
          <xdr:nvSpPr>
            <xdr:cNvPr id="1055" name="Button 31" hidden="1">
              <a:extLst>
                <a:ext uri="{63B3BB69-23CF-44E3-9099-C40C66FF867C}">
                  <a14:compatExt spid="_x0000_s1055"/>
                </a:ext>
                <a:ext uri="{FF2B5EF4-FFF2-40B4-BE49-F238E27FC236}">
                  <a16:creationId xmlns:a16="http://schemas.microsoft.com/office/drawing/2014/main" xmlns=""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44</xdr:row>
          <xdr:rowOff>9525</xdr:rowOff>
        </xdr:from>
        <xdr:to>
          <xdr:col>22</xdr:col>
          <xdr:colOff>600075</xdr:colOff>
          <xdr:row>45</xdr:row>
          <xdr:rowOff>9525</xdr:rowOff>
        </xdr:to>
        <xdr:sp macro="" textlink="">
          <xdr:nvSpPr>
            <xdr:cNvPr id="1056" name="Button 32" hidden="1">
              <a:extLst>
                <a:ext uri="{63B3BB69-23CF-44E3-9099-C40C66FF867C}">
                  <a14:compatExt spid="_x0000_s1056"/>
                </a:ext>
                <a:ext uri="{FF2B5EF4-FFF2-40B4-BE49-F238E27FC236}">
                  <a16:creationId xmlns:a16="http://schemas.microsoft.com/office/drawing/2014/main" xmlns=""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46</xdr:row>
          <xdr:rowOff>9525</xdr:rowOff>
        </xdr:from>
        <xdr:to>
          <xdr:col>22</xdr:col>
          <xdr:colOff>600075</xdr:colOff>
          <xdr:row>47</xdr:row>
          <xdr:rowOff>0</xdr:rowOff>
        </xdr:to>
        <xdr:sp macro="" textlink="">
          <xdr:nvSpPr>
            <xdr:cNvPr id="1057" name="Button 33" hidden="1">
              <a:extLst>
                <a:ext uri="{63B3BB69-23CF-44E3-9099-C40C66FF867C}">
                  <a14:compatExt spid="_x0000_s1057"/>
                </a:ext>
                <a:ext uri="{FF2B5EF4-FFF2-40B4-BE49-F238E27FC236}">
                  <a16:creationId xmlns:a16="http://schemas.microsoft.com/office/drawing/2014/main" xmlns=""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47</xdr:row>
          <xdr:rowOff>9525</xdr:rowOff>
        </xdr:from>
        <xdr:to>
          <xdr:col>22</xdr:col>
          <xdr:colOff>600075</xdr:colOff>
          <xdr:row>48</xdr:row>
          <xdr:rowOff>0</xdr:rowOff>
        </xdr:to>
        <xdr:sp macro="" textlink="">
          <xdr:nvSpPr>
            <xdr:cNvPr id="1058" name="Button 34" hidden="1">
              <a:extLst>
                <a:ext uri="{63B3BB69-23CF-44E3-9099-C40C66FF867C}">
                  <a14:compatExt spid="_x0000_s1058"/>
                </a:ext>
                <a:ext uri="{FF2B5EF4-FFF2-40B4-BE49-F238E27FC236}">
                  <a16:creationId xmlns:a16="http://schemas.microsoft.com/office/drawing/2014/main" xmlns=""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48</xdr:row>
          <xdr:rowOff>9525</xdr:rowOff>
        </xdr:from>
        <xdr:to>
          <xdr:col>22</xdr:col>
          <xdr:colOff>600075</xdr:colOff>
          <xdr:row>49</xdr:row>
          <xdr:rowOff>0</xdr:rowOff>
        </xdr:to>
        <xdr:sp macro="" textlink="">
          <xdr:nvSpPr>
            <xdr:cNvPr id="1059" name="Button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3</xdr:col>
          <xdr:colOff>0</xdr:colOff>
          <xdr:row>21</xdr:row>
          <xdr:rowOff>0</xdr:rowOff>
        </xdr:to>
        <xdr:sp macro="" textlink="">
          <xdr:nvSpPr>
            <xdr:cNvPr id="1061" name="Button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Damage/Heal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209550</xdr:rowOff>
        </xdr:from>
        <xdr:to>
          <xdr:col>3</xdr:col>
          <xdr:colOff>9525</xdr:colOff>
          <xdr:row>25</xdr:row>
          <xdr:rowOff>9525</xdr:rowOff>
        </xdr:to>
        <xdr:sp macro="" textlink="">
          <xdr:nvSpPr>
            <xdr:cNvPr id="1062" name="Button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Attack Crossbow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59</xdr:row>
          <xdr:rowOff>9525</xdr:rowOff>
        </xdr:from>
        <xdr:to>
          <xdr:col>23</xdr:col>
          <xdr:colOff>0</xdr:colOff>
          <xdr:row>60</xdr:row>
          <xdr:rowOff>9525</xdr:rowOff>
        </xdr:to>
        <xdr:sp macro="" textlink="">
          <xdr:nvSpPr>
            <xdr:cNvPr id="1063" name="Button 39" hidden="1">
              <a:extLst>
                <a:ext uri="{63B3BB69-23CF-44E3-9099-C40C66FF867C}">
                  <a14:compatExt spid="_x0000_s1063"/>
                </a:ext>
                <a:ext uri="{FF2B5EF4-FFF2-40B4-BE49-F238E27FC236}">
                  <a16:creationId xmlns:a16="http://schemas.microsoft.com/office/drawing/2014/main" xmlns=""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60</xdr:row>
          <xdr:rowOff>9525</xdr:rowOff>
        </xdr:from>
        <xdr:to>
          <xdr:col>23</xdr:col>
          <xdr:colOff>0</xdr:colOff>
          <xdr:row>61</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xmlns=""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17</xdr:row>
          <xdr:rowOff>0</xdr:rowOff>
        </xdr:from>
        <xdr:to>
          <xdr:col>22</xdr:col>
          <xdr:colOff>0</xdr:colOff>
          <xdr:row>19</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xmlns=""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Juggernaut Mutagen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16</xdr:row>
          <xdr:rowOff>390525</xdr:rowOff>
        </xdr:from>
        <xdr:to>
          <xdr:col>25</xdr:col>
          <xdr:colOff>0</xdr:colOff>
          <xdr:row>19</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xmlns=""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Juggernaut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28</xdr:row>
          <xdr:rowOff>0</xdr:rowOff>
        </xdr:to>
        <xdr:sp macro="" textlink="">
          <xdr:nvSpPr>
            <xdr:cNvPr id="1067" name="Button 43" hidden="1">
              <a:extLst>
                <a:ext uri="{63B3BB69-23CF-44E3-9099-C40C66FF867C}">
                  <a14:compatExt spid="_x0000_s1067"/>
                </a:ext>
                <a:ext uri="{FF2B5EF4-FFF2-40B4-BE49-F238E27FC236}">
                  <a16:creationId xmlns:a16="http://schemas.microsoft.com/office/drawing/2014/main" xmlns=""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Apply 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101</xdr:row>
          <xdr:rowOff>9525</xdr:rowOff>
        </xdr:from>
        <xdr:to>
          <xdr:col>1</xdr:col>
          <xdr:colOff>0</xdr:colOff>
          <xdr:row>102</xdr:row>
          <xdr:rowOff>9525</xdr:rowOff>
        </xdr:to>
        <xdr:sp macro="" textlink="">
          <xdr:nvSpPr>
            <xdr:cNvPr id="1068" name="Button 44" hidden="1">
              <a:extLst>
                <a:ext uri="{63B3BB69-23CF-44E3-9099-C40C66FF867C}">
                  <a14:compatExt spid="_x0000_s1068"/>
                </a:ext>
                <a:ext uri="{FF2B5EF4-FFF2-40B4-BE49-F238E27FC236}">
                  <a16:creationId xmlns:a16="http://schemas.microsoft.com/office/drawing/2014/main" xmlns=""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Gold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102</xdr:row>
          <xdr:rowOff>9525</xdr:rowOff>
        </xdr:from>
        <xdr:to>
          <xdr:col>1</xdr:col>
          <xdr:colOff>0</xdr:colOff>
          <xdr:row>103</xdr:row>
          <xdr:rowOff>0</xdr:rowOff>
        </xdr:to>
        <xdr:sp macro="" textlink="">
          <xdr:nvSpPr>
            <xdr:cNvPr id="1069" name="Button 45" hidden="1">
              <a:extLst>
                <a:ext uri="{63B3BB69-23CF-44E3-9099-C40C66FF867C}">
                  <a14:compatExt spid="_x0000_s1069"/>
                </a:ext>
                <a:ext uri="{FF2B5EF4-FFF2-40B4-BE49-F238E27FC236}">
                  <a16:creationId xmlns:a16="http://schemas.microsoft.com/office/drawing/2014/main" xmlns=""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Platinum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10</xdr:row>
          <xdr:rowOff>180975</xdr:rowOff>
        </xdr:from>
        <xdr:to>
          <xdr:col>22</xdr:col>
          <xdr:colOff>9525</xdr:colOff>
          <xdr:row>12</xdr:row>
          <xdr:rowOff>19050</xdr:rowOff>
        </xdr:to>
        <xdr:sp macro="" textlink="">
          <xdr:nvSpPr>
            <xdr:cNvPr id="1070" name="Button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Quicksilver Mutagen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600075</xdr:colOff>
          <xdr:row>11</xdr:row>
          <xdr:rowOff>0</xdr:rowOff>
        </xdr:from>
        <xdr:to>
          <xdr:col>25</xdr:col>
          <xdr:colOff>9525</xdr:colOff>
          <xdr:row>12</xdr:row>
          <xdr:rowOff>28575</xdr:rowOff>
        </xdr:to>
        <xdr:sp macro="" textlink="">
          <xdr:nvSpPr>
            <xdr:cNvPr id="1071" name="Button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Quicksilver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65</xdr:row>
          <xdr:rowOff>9525</xdr:rowOff>
        </xdr:from>
        <xdr:to>
          <xdr:col>22</xdr:col>
          <xdr:colOff>600075</xdr:colOff>
          <xdr:row>66</xdr:row>
          <xdr:rowOff>0</xdr:rowOff>
        </xdr:to>
        <xdr:sp macro="" textlink="">
          <xdr:nvSpPr>
            <xdr:cNvPr id="1074" name="Button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66</xdr:row>
          <xdr:rowOff>9525</xdr:rowOff>
        </xdr:from>
        <xdr:to>
          <xdr:col>22</xdr:col>
          <xdr:colOff>600075</xdr:colOff>
          <xdr:row>67</xdr:row>
          <xdr:rowOff>0</xdr:rowOff>
        </xdr:to>
        <xdr:sp macro="" textlink="">
          <xdr:nvSpPr>
            <xdr:cNvPr id="1075" name="Button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67</xdr:row>
          <xdr:rowOff>9525</xdr:rowOff>
        </xdr:from>
        <xdr:to>
          <xdr:col>22</xdr:col>
          <xdr:colOff>600075</xdr:colOff>
          <xdr:row>68</xdr:row>
          <xdr:rowOff>0</xdr:rowOff>
        </xdr:to>
        <xdr:sp macro="" textlink="">
          <xdr:nvSpPr>
            <xdr:cNvPr id="1076" name="Button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68</xdr:row>
          <xdr:rowOff>9525</xdr:rowOff>
        </xdr:from>
        <xdr:to>
          <xdr:col>22</xdr:col>
          <xdr:colOff>600075</xdr:colOff>
          <xdr:row>69</xdr:row>
          <xdr:rowOff>0</xdr:rowOff>
        </xdr:to>
        <xdr:sp macro="" textlink="">
          <xdr:nvSpPr>
            <xdr:cNvPr id="1077" name="Button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22</xdr:row>
          <xdr:rowOff>9525</xdr:rowOff>
        </xdr:from>
        <xdr:to>
          <xdr:col>9</xdr:col>
          <xdr:colOff>0</xdr:colOff>
          <xdr:row>22</xdr:row>
          <xdr:rowOff>114300</xdr:rowOff>
        </xdr:to>
        <xdr:sp macro="" textlink="">
          <xdr:nvSpPr>
            <xdr:cNvPr id="1078" name="Button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22</xdr:row>
          <xdr:rowOff>123825</xdr:rowOff>
        </xdr:from>
        <xdr:to>
          <xdr:col>9</xdr:col>
          <xdr:colOff>0</xdr:colOff>
          <xdr:row>23</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20</xdr:row>
          <xdr:rowOff>190500</xdr:rowOff>
        </xdr:from>
        <xdr:to>
          <xdr:col>22</xdr:col>
          <xdr:colOff>0</xdr:colOff>
          <xdr:row>22</xdr:row>
          <xdr:rowOff>219075</xdr:rowOff>
        </xdr:to>
        <xdr:sp macro="" textlink="">
          <xdr:nvSpPr>
            <xdr:cNvPr id="1082" name="Button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Cognitive Mutagen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20</xdr:row>
          <xdr:rowOff>190500</xdr:rowOff>
        </xdr:from>
        <xdr:to>
          <xdr:col>25</xdr:col>
          <xdr:colOff>9525</xdr:colOff>
          <xdr:row>22</xdr:row>
          <xdr:rowOff>219075</xdr:rowOff>
        </xdr:to>
        <xdr:sp macro="" textlink="">
          <xdr:nvSpPr>
            <xdr:cNvPr id="1083" name="Button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Cognitive Deactivate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71</xdr:row>
          <xdr:rowOff>9525</xdr:rowOff>
        </xdr:from>
        <xdr:to>
          <xdr:col>22</xdr:col>
          <xdr:colOff>600075</xdr:colOff>
          <xdr:row>72</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72</xdr:row>
          <xdr:rowOff>9525</xdr:rowOff>
        </xdr:from>
        <xdr:to>
          <xdr:col>22</xdr:col>
          <xdr:colOff>600075</xdr:colOff>
          <xdr:row>73</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73</xdr:row>
          <xdr:rowOff>9525</xdr:rowOff>
        </xdr:from>
        <xdr:to>
          <xdr:col>22</xdr:col>
          <xdr:colOff>600075</xdr:colOff>
          <xdr:row>74</xdr:row>
          <xdr:rowOff>0</xdr:rowOff>
        </xdr:to>
        <xdr:sp macro="" textlink="">
          <xdr:nvSpPr>
            <xdr:cNvPr id="1086" name="Button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74</xdr:row>
          <xdr:rowOff>9525</xdr:rowOff>
        </xdr:from>
        <xdr:to>
          <xdr:col>22</xdr:col>
          <xdr:colOff>600075</xdr:colOff>
          <xdr:row>75</xdr:row>
          <xdr:rowOff>0</xdr:rowOff>
        </xdr:to>
        <xdr:sp macro="" textlink="">
          <xdr:nvSpPr>
            <xdr:cNvPr id="1087" name="Button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75</xdr:row>
          <xdr:rowOff>9525</xdr:rowOff>
        </xdr:from>
        <xdr:to>
          <xdr:col>22</xdr:col>
          <xdr:colOff>600075</xdr:colOff>
          <xdr:row>76</xdr:row>
          <xdr:rowOff>0</xdr:rowOff>
        </xdr:to>
        <xdr:sp macro="" textlink="">
          <xdr:nvSpPr>
            <xdr:cNvPr id="1088" name="Button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76</xdr:row>
          <xdr:rowOff>9525</xdr:rowOff>
        </xdr:from>
        <xdr:to>
          <xdr:col>22</xdr:col>
          <xdr:colOff>600075</xdr:colOff>
          <xdr:row>77</xdr:row>
          <xdr:rowOff>0</xdr:rowOff>
        </xdr:to>
        <xdr:sp macro="" textlink="">
          <xdr:nvSpPr>
            <xdr:cNvPr id="1089" name="Button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77</xdr:row>
          <xdr:rowOff>9525</xdr:rowOff>
        </xdr:from>
        <xdr:to>
          <xdr:col>22</xdr:col>
          <xdr:colOff>600075</xdr:colOff>
          <xdr:row>78</xdr:row>
          <xdr:rowOff>0</xdr:rowOff>
        </xdr:to>
        <xdr:sp macro="" textlink="">
          <xdr:nvSpPr>
            <xdr:cNvPr id="1090" name="Button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78</xdr:row>
          <xdr:rowOff>9525</xdr:rowOff>
        </xdr:from>
        <xdr:to>
          <xdr:col>22</xdr:col>
          <xdr:colOff>600075</xdr:colOff>
          <xdr:row>79</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190500</xdr:rowOff>
        </xdr:from>
        <xdr:to>
          <xdr:col>28</xdr:col>
          <xdr:colOff>9525</xdr:colOff>
          <xdr:row>8</xdr:row>
          <xdr:rowOff>190500</xdr:rowOff>
        </xdr:to>
        <xdr:sp macro="" textlink="">
          <xdr:nvSpPr>
            <xdr:cNvPr id="1092" name="Button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Mistform Elixir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581025</xdr:colOff>
          <xdr:row>11</xdr:row>
          <xdr:rowOff>0</xdr:rowOff>
        </xdr:from>
        <xdr:to>
          <xdr:col>27</xdr:col>
          <xdr:colOff>600075</xdr:colOff>
          <xdr:row>12</xdr:row>
          <xdr:rowOff>28575</xdr:rowOff>
        </xdr:to>
        <xdr:sp macro="" textlink="">
          <xdr:nvSpPr>
            <xdr:cNvPr id="1093" name="Button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Cheetah's Elixir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180975</xdr:rowOff>
        </xdr:from>
        <xdr:to>
          <xdr:col>28</xdr:col>
          <xdr:colOff>0</xdr:colOff>
          <xdr:row>16</xdr:row>
          <xdr:rowOff>9525</xdr:rowOff>
        </xdr:to>
        <xdr:sp macro="" textlink="">
          <xdr:nvSpPr>
            <xdr:cNvPr id="1094" name="Button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Cat's Eye Elixir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9525</xdr:colOff>
          <xdr:row>24</xdr:row>
          <xdr:rowOff>9525</xdr:rowOff>
        </xdr:from>
        <xdr:to>
          <xdr:col>18</xdr:col>
          <xdr:colOff>9525</xdr:colOff>
          <xdr:row>26</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Quick Alchemy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xdr:colOff>
          <xdr:row>24</xdr:row>
          <xdr:rowOff>9525</xdr:rowOff>
        </xdr:from>
        <xdr:to>
          <xdr:col>21</xdr:col>
          <xdr:colOff>0</xdr:colOff>
          <xdr:row>26</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xmlns=""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Start 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xdr:colOff>
          <xdr:row>28</xdr:row>
          <xdr:rowOff>9525</xdr:rowOff>
        </xdr:from>
        <xdr:to>
          <xdr:col>21</xdr:col>
          <xdr:colOff>0</xdr:colOff>
          <xdr:row>30</xdr:row>
          <xdr:rowOff>180975</xdr:rowOff>
        </xdr:to>
        <xdr:sp macro="" textlink="">
          <xdr:nvSpPr>
            <xdr:cNvPr id="2053" name="Button 5" hidden="1">
              <a:extLst>
                <a:ext uri="{63B3BB69-23CF-44E3-9099-C40C66FF867C}">
                  <a14:compatExt spid="_x0000_s2053"/>
                </a:ext>
                <a:ext uri="{FF2B5EF4-FFF2-40B4-BE49-F238E27FC236}">
                  <a16:creationId xmlns:a16="http://schemas.microsoft.com/office/drawing/2014/main" xmlns=""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End 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xdr:colOff>
          <xdr:row>32</xdr:row>
          <xdr:rowOff>0</xdr:rowOff>
        </xdr:from>
        <xdr:to>
          <xdr:col>21</xdr:col>
          <xdr:colOff>0</xdr:colOff>
          <xdr:row>34</xdr:row>
          <xdr:rowOff>180975</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End Battle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53</xdr:row>
          <xdr:rowOff>0</xdr:rowOff>
        </xdr:from>
        <xdr:to>
          <xdr:col>13</xdr:col>
          <xdr:colOff>0</xdr:colOff>
          <xdr:row>54</xdr:row>
          <xdr:rowOff>0</xdr:rowOff>
        </xdr:to>
        <xdr:sp macro="" textlink="">
          <xdr:nvSpPr>
            <xdr:cNvPr id="2113" name="Button 65" hidden="1">
              <a:extLst>
                <a:ext uri="{63B3BB69-23CF-44E3-9099-C40C66FF867C}">
                  <a14:compatExt spid="_x0000_s2113"/>
                </a:ext>
                <a:ext uri="{FF2B5EF4-FFF2-40B4-BE49-F238E27FC236}">
                  <a16:creationId xmlns:a16="http://schemas.microsoft.com/office/drawing/2014/main" xmlns=""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54</xdr:row>
          <xdr:rowOff>0</xdr:rowOff>
        </xdr:from>
        <xdr:to>
          <xdr:col>13</xdr:col>
          <xdr:colOff>0</xdr:colOff>
          <xdr:row>55</xdr:row>
          <xdr:rowOff>0</xdr:rowOff>
        </xdr:to>
        <xdr:sp macro="" textlink="">
          <xdr:nvSpPr>
            <xdr:cNvPr id="2114" name="Button 66" hidden="1">
              <a:extLst>
                <a:ext uri="{63B3BB69-23CF-44E3-9099-C40C66FF867C}">
                  <a14:compatExt spid="_x0000_s2114"/>
                </a:ext>
                <a:ext uri="{FF2B5EF4-FFF2-40B4-BE49-F238E27FC236}">
                  <a16:creationId xmlns:a16="http://schemas.microsoft.com/office/drawing/2014/main" xmlns=""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55</xdr:row>
          <xdr:rowOff>0</xdr:rowOff>
        </xdr:from>
        <xdr:to>
          <xdr:col>13</xdr:col>
          <xdr:colOff>0</xdr:colOff>
          <xdr:row>56</xdr:row>
          <xdr:rowOff>0</xdr:rowOff>
        </xdr:to>
        <xdr:sp macro="" textlink="">
          <xdr:nvSpPr>
            <xdr:cNvPr id="2115" name="Button 67" hidden="1">
              <a:extLst>
                <a:ext uri="{63B3BB69-23CF-44E3-9099-C40C66FF867C}">
                  <a14:compatExt spid="_x0000_s2115"/>
                </a:ext>
                <a:ext uri="{FF2B5EF4-FFF2-40B4-BE49-F238E27FC236}">
                  <a16:creationId xmlns:a16="http://schemas.microsoft.com/office/drawing/2014/main" xmlns=""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56</xdr:row>
          <xdr:rowOff>0</xdr:rowOff>
        </xdr:from>
        <xdr:to>
          <xdr:col>13</xdr:col>
          <xdr:colOff>0</xdr:colOff>
          <xdr:row>57</xdr:row>
          <xdr:rowOff>0</xdr:rowOff>
        </xdr:to>
        <xdr:sp macro="" textlink="">
          <xdr:nvSpPr>
            <xdr:cNvPr id="2116" name="Button 68" hidden="1">
              <a:extLst>
                <a:ext uri="{63B3BB69-23CF-44E3-9099-C40C66FF867C}">
                  <a14:compatExt spid="_x0000_s2116"/>
                </a:ext>
                <a:ext uri="{FF2B5EF4-FFF2-40B4-BE49-F238E27FC236}">
                  <a16:creationId xmlns:a16="http://schemas.microsoft.com/office/drawing/2014/main" xmlns=""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57</xdr:row>
          <xdr:rowOff>0</xdr:rowOff>
        </xdr:from>
        <xdr:to>
          <xdr:col>13</xdr:col>
          <xdr:colOff>0</xdr:colOff>
          <xdr:row>58</xdr:row>
          <xdr:rowOff>0</xdr:rowOff>
        </xdr:to>
        <xdr:sp macro="" textlink="">
          <xdr:nvSpPr>
            <xdr:cNvPr id="2117" name="Button 69" hidden="1">
              <a:extLst>
                <a:ext uri="{63B3BB69-23CF-44E3-9099-C40C66FF867C}">
                  <a14:compatExt spid="_x0000_s2117"/>
                </a:ext>
                <a:ext uri="{FF2B5EF4-FFF2-40B4-BE49-F238E27FC236}">
                  <a16:creationId xmlns:a16="http://schemas.microsoft.com/office/drawing/2014/main" xmlns=""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58</xdr:row>
          <xdr:rowOff>0</xdr:rowOff>
        </xdr:from>
        <xdr:to>
          <xdr:col>13</xdr:col>
          <xdr:colOff>0</xdr:colOff>
          <xdr:row>59</xdr:row>
          <xdr:rowOff>0</xdr:rowOff>
        </xdr:to>
        <xdr:sp macro="" textlink="">
          <xdr:nvSpPr>
            <xdr:cNvPr id="2118" name="Button 70" hidden="1">
              <a:extLst>
                <a:ext uri="{63B3BB69-23CF-44E3-9099-C40C66FF867C}">
                  <a14:compatExt spid="_x0000_s2118"/>
                </a:ext>
                <a:ext uri="{FF2B5EF4-FFF2-40B4-BE49-F238E27FC236}">
                  <a16:creationId xmlns:a16="http://schemas.microsoft.com/office/drawing/2014/main" xmlns=""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59</xdr:row>
          <xdr:rowOff>0</xdr:rowOff>
        </xdr:from>
        <xdr:to>
          <xdr:col>13</xdr:col>
          <xdr:colOff>0</xdr:colOff>
          <xdr:row>60</xdr:row>
          <xdr:rowOff>0</xdr:rowOff>
        </xdr:to>
        <xdr:sp macro="" textlink="">
          <xdr:nvSpPr>
            <xdr:cNvPr id="2119" name="Button 71" hidden="1">
              <a:extLst>
                <a:ext uri="{63B3BB69-23CF-44E3-9099-C40C66FF867C}">
                  <a14:compatExt spid="_x0000_s2119"/>
                </a:ext>
                <a:ext uri="{FF2B5EF4-FFF2-40B4-BE49-F238E27FC236}">
                  <a16:creationId xmlns:a16="http://schemas.microsoft.com/office/drawing/2014/main" xmlns=""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60</xdr:row>
          <xdr:rowOff>0</xdr:rowOff>
        </xdr:from>
        <xdr:to>
          <xdr:col>13</xdr:col>
          <xdr:colOff>0</xdr:colOff>
          <xdr:row>61</xdr:row>
          <xdr:rowOff>0</xdr:rowOff>
        </xdr:to>
        <xdr:sp macro="" textlink="">
          <xdr:nvSpPr>
            <xdr:cNvPr id="2120" name="Button 72" hidden="1">
              <a:extLst>
                <a:ext uri="{63B3BB69-23CF-44E3-9099-C40C66FF867C}">
                  <a14:compatExt spid="_x0000_s2120"/>
                </a:ext>
                <a:ext uri="{FF2B5EF4-FFF2-40B4-BE49-F238E27FC236}">
                  <a16:creationId xmlns:a16="http://schemas.microsoft.com/office/drawing/2014/main" xmlns=""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61</xdr:row>
          <xdr:rowOff>0</xdr:rowOff>
        </xdr:from>
        <xdr:to>
          <xdr:col>13</xdr:col>
          <xdr:colOff>0</xdr:colOff>
          <xdr:row>62</xdr:row>
          <xdr:rowOff>0</xdr:rowOff>
        </xdr:to>
        <xdr:sp macro="" textlink="">
          <xdr:nvSpPr>
            <xdr:cNvPr id="2121" name="Button 73" hidden="1">
              <a:extLst>
                <a:ext uri="{63B3BB69-23CF-44E3-9099-C40C66FF867C}">
                  <a14:compatExt spid="_x0000_s2121"/>
                </a:ext>
                <a:ext uri="{FF2B5EF4-FFF2-40B4-BE49-F238E27FC236}">
                  <a16:creationId xmlns:a16="http://schemas.microsoft.com/office/drawing/2014/main" xmlns=""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62</xdr:row>
          <xdr:rowOff>0</xdr:rowOff>
        </xdr:from>
        <xdr:to>
          <xdr:col>13</xdr:col>
          <xdr:colOff>0</xdr:colOff>
          <xdr:row>63</xdr:row>
          <xdr:rowOff>0</xdr:rowOff>
        </xdr:to>
        <xdr:sp macro="" textlink="">
          <xdr:nvSpPr>
            <xdr:cNvPr id="2122" name="Button 74" hidden="1">
              <a:extLst>
                <a:ext uri="{63B3BB69-23CF-44E3-9099-C40C66FF867C}">
                  <a14:compatExt spid="_x0000_s2122"/>
                </a:ext>
                <a:ext uri="{FF2B5EF4-FFF2-40B4-BE49-F238E27FC236}">
                  <a16:creationId xmlns:a16="http://schemas.microsoft.com/office/drawing/2014/main" xmlns=""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63</xdr:row>
          <xdr:rowOff>0</xdr:rowOff>
        </xdr:from>
        <xdr:to>
          <xdr:col>13</xdr:col>
          <xdr:colOff>0</xdr:colOff>
          <xdr:row>64</xdr:row>
          <xdr:rowOff>0</xdr:rowOff>
        </xdr:to>
        <xdr:sp macro="" textlink="">
          <xdr:nvSpPr>
            <xdr:cNvPr id="2123" name="Button 75" hidden="1">
              <a:extLst>
                <a:ext uri="{63B3BB69-23CF-44E3-9099-C40C66FF867C}">
                  <a14:compatExt spid="_x0000_s2123"/>
                </a:ext>
                <a:ext uri="{FF2B5EF4-FFF2-40B4-BE49-F238E27FC236}">
                  <a16:creationId xmlns:a16="http://schemas.microsoft.com/office/drawing/2014/main" xmlns=""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64</xdr:row>
          <xdr:rowOff>0</xdr:rowOff>
        </xdr:from>
        <xdr:to>
          <xdr:col>13</xdr:col>
          <xdr:colOff>0</xdr:colOff>
          <xdr:row>65</xdr:row>
          <xdr:rowOff>0</xdr:rowOff>
        </xdr:to>
        <xdr:sp macro="" textlink="">
          <xdr:nvSpPr>
            <xdr:cNvPr id="2124" name="Button 76" hidden="1">
              <a:extLst>
                <a:ext uri="{63B3BB69-23CF-44E3-9099-C40C66FF867C}">
                  <a14:compatExt spid="_x0000_s2124"/>
                </a:ext>
                <a:ext uri="{FF2B5EF4-FFF2-40B4-BE49-F238E27FC236}">
                  <a16:creationId xmlns:a16="http://schemas.microsoft.com/office/drawing/2014/main" xmlns=""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65</xdr:row>
          <xdr:rowOff>0</xdr:rowOff>
        </xdr:from>
        <xdr:to>
          <xdr:col>13</xdr:col>
          <xdr:colOff>0</xdr:colOff>
          <xdr:row>66</xdr:row>
          <xdr:rowOff>0</xdr:rowOff>
        </xdr:to>
        <xdr:sp macro="" textlink="">
          <xdr:nvSpPr>
            <xdr:cNvPr id="2125" name="Button 77" hidden="1">
              <a:extLst>
                <a:ext uri="{63B3BB69-23CF-44E3-9099-C40C66FF867C}">
                  <a14:compatExt spid="_x0000_s2125"/>
                </a:ext>
                <a:ext uri="{FF2B5EF4-FFF2-40B4-BE49-F238E27FC236}">
                  <a16:creationId xmlns:a16="http://schemas.microsoft.com/office/drawing/2014/main" xmlns=""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66</xdr:row>
          <xdr:rowOff>0</xdr:rowOff>
        </xdr:from>
        <xdr:to>
          <xdr:col>13</xdr:col>
          <xdr:colOff>0</xdr:colOff>
          <xdr:row>67</xdr:row>
          <xdr:rowOff>0</xdr:rowOff>
        </xdr:to>
        <xdr:sp macro="" textlink="">
          <xdr:nvSpPr>
            <xdr:cNvPr id="2126" name="Button 78" hidden="1">
              <a:extLst>
                <a:ext uri="{63B3BB69-23CF-44E3-9099-C40C66FF867C}">
                  <a14:compatExt spid="_x0000_s2126"/>
                </a:ext>
                <a:ext uri="{FF2B5EF4-FFF2-40B4-BE49-F238E27FC236}">
                  <a16:creationId xmlns:a16="http://schemas.microsoft.com/office/drawing/2014/main" xmlns=""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67</xdr:row>
          <xdr:rowOff>0</xdr:rowOff>
        </xdr:from>
        <xdr:to>
          <xdr:col>13</xdr:col>
          <xdr:colOff>0</xdr:colOff>
          <xdr:row>68</xdr:row>
          <xdr:rowOff>0</xdr:rowOff>
        </xdr:to>
        <xdr:sp macro="" textlink="">
          <xdr:nvSpPr>
            <xdr:cNvPr id="2127" name="Button 79" hidden="1">
              <a:extLst>
                <a:ext uri="{63B3BB69-23CF-44E3-9099-C40C66FF867C}">
                  <a14:compatExt spid="_x0000_s2127"/>
                </a:ext>
                <a:ext uri="{FF2B5EF4-FFF2-40B4-BE49-F238E27FC236}">
                  <a16:creationId xmlns:a16="http://schemas.microsoft.com/office/drawing/2014/main" xmlns=""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53</xdr:row>
          <xdr:rowOff>0</xdr:rowOff>
        </xdr:from>
        <xdr:to>
          <xdr:col>12</xdr:col>
          <xdr:colOff>0</xdr:colOff>
          <xdr:row>54</xdr:row>
          <xdr:rowOff>0</xdr:rowOff>
        </xdr:to>
        <xdr:sp macro="" textlink="">
          <xdr:nvSpPr>
            <xdr:cNvPr id="2128" name="Button 80" hidden="1">
              <a:extLst>
                <a:ext uri="{63B3BB69-23CF-44E3-9099-C40C66FF867C}">
                  <a14:compatExt spid="_x0000_s2128"/>
                </a:ext>
                <a:ext uri="{FF2B5EF4-FFF2-40B4-BE49-F238E27FC236}">
                  <a16:creationId xmlns:a16="http://schemas.microsoft.com/office/drawing/2014/main" xmlns=""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54</xdr:row>
          <xdr:rowOff>0</xdr:rowOff>
        </xdr:from>
        <xdr:to>
          <xdr:col>12</xdr:col>
          <xdr:colOff>0</xdr:colOff>
          <xdr:row>55</xdr:row>
          <xdr:rowOff>0</xdr:rowOff>
        </xdr:to>
        <xdr:sp macro="" textlink="">
          <xdr:nvSpPr>
            <xdr:cNvPr id="2129" name="Button 81" hidden="1">
              <a:extLst>
                <a:ext uri="{63B3BB69-23CF-44E3-9099-C40C66FF867C}">
                  <a14:compatExt spid="_x0000_s2129"/>
                </a:ext>
                <a:ext uri="{FF2B5EF4-FFF2-40B4-BE49-F238E27FC236}">
                  <a16:creationId xmlns:a16="http://schemas.microsoft.com/office/drawing/2014/main" xmlns=""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55</xdr:row>
          <xdr:rowOff>0</xdr:rowOff>
        </xdr:from>
        <xdr:to>
          <xdr:col>12</xdr:col>
          <xdr:colOff>0</xdr:colOff>
          <xdr:row>56</xdr:row>
          <xdr:rowOff>0</xdr:rowOff>
        </xdr:to>
        <xdr:sp macro="" textlink="">
          <xdr:nvSpPr>
            <xdr:cNvPr id="2130" name="Button 82" hidden="1">
              <a:extLst>
                <a:ext uri="{63B3BB69-23CF-44E3-9099-C40C66FF867C}">
                  <a14:compatExt spid="_x0000_s2130"/>
                </a:ext>
                <a:ext uri="{FF2B5EF4-FFF2-40B4-BE49-F238E27FC236}">
                  <a16:creationId xmlns:a16="http://schemas.microsoft.com/office/drawing/2014/main" xmlns=""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56</xdr:row>
          <xdr:rowOff>0</xdr:rowOff>
        </xdr:from>
        <xdr:to>
          <xdr:col>12</xdr:col>
          <xdr:colOff>0</xdr:colOff>
          <xdr:row>57</xdr:row>
          <xdr:rowOff>0</xdr:rowOff>
        </xdr:to>
        <xdr:sp macro="" textlink="">
          <xdr:nvSpPr>
            <xdr:cNvPr id="2131" name="Button 83" hidden="1">
              <a:extLst>
                <a:ext uri="{63B3BB69-23CF-44E3-9099-C40C66FF867C}">
                  <a14:compatExt spid="_x0000_s2131"/>
                </a:ext>
                <a:ext uri="{FF2B5EF4-FFF2-40B4-BE49-F238E27FC236}">
                  <a16:creationId xmlns:a16="http://schemas.microsoft.com/office/drawing/2014/main" xmlns=""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57</xdr:row>
          <xdr:rowOff>0</xdr:rowOff>
        </xdr:from>
        <xdr:to>
          <xdr:col>12</xdr:col>
          <xdr:colOff>0</xdr:colOff>
          <xdr:row>58</xdr:row>
          <xdr:rowOff>0</xdr:rowOff>
        </xdr:to>
        <xdr:sp macro="" textlink="">
          <xdr:nvSpPr>
            <xdr:cNvPr id="2132" name="Button 84" hidden="1">
              <a:extLst>
                <a:ext uri="{63B3BB69-23CF-44E3-9099-C40C66FF867C}">
                  <a14:compatExt spid="_x0000_s2132"/>
                </a:ext>
                <a:ext uri="{FF2B5EF4-FFF2-40B4-BE49-F238E27FC236}">
                  <a16:creationId xmlns:a16="http://schemas.microsoft.com/office/drawing/2014/main" xmlns=""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58</xdr:row>
          <xdr:rowOff>0</xdr:rowOff>
        </xdr:from>
        <xdr:to>
          <xdr:col>12</xdr:col>
          <xdr:colOff>0</xdr:colOff>
          <xdr:row>59</xdr:row>
          <xdr:rowOff>0</xdr:rowOff>
        </xdr:to>
        <xdr:sp macro="" textlink="">
          <xdr:nvSpPr>
            <xdr:cNvPr id="2133" name="Button 85" hidden="1">
              <a:extLst>
                <a:ext uri="{63B3BB69-23CF-44E3-9099-C40C66FF867C}">
                  <a14:compatExt spid="_x0000_s2133"/>
                </a:ext>
                <a:ext uri="{FF2B5EF4-FFF2-40B4-BE49-F238E27FC236}">
                  <a16:creationId xmlns:a16="http://schemas.microsoft.com/office/drawing/2014/main" xmlns=""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59</xdr:row>
          <xdr:rowOff>0</xdr:rowOff>
        </xdr:from>
        <xdr:to>
          <xdr:col>12</xdr:col>
          <xdr:colOff>0</xdr:colOff>
          <xdr:row>60</xdr:row>
          <xdr:rowOff>0</xdr:rowOff>
        </xdr:to>
        <xdr:sp macro="" textlink="">
          <xdr:nvSpPr>
            <xdr:cNvPr id="2134" name="Button 86" hidden="1">
              <a:extLst>
                <a:ext uri="{63B3BB69-23CF-44E3-9099-C40C66FF867C}">
                  <a14:compatExt spid="_x0000_s2134"/>
                </a:ext>
                <a:ext uri="{FF2B5EF4-FFF2-40B4-BE49-F238E27FC236}">
                  <a16:creationId xmlns:a16="http://schemas.microsoft.com/office/drawing/2014/main" xmlns=""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60</xdr:row>
          <xdr:rowOff>0</xdr:rowOff>
        </xdr:from>
        <xdr:to>
          <xdr:col>12</xdr:col>
          <xdr:colOff>0</xdr:colOff>
          <xdr:row>61</xdr:row>
          <xdr:rowOff>0</xdr:rowOff>
        </xdr:to>
        <xdr:sp macro="" textlink="">
          <xdr:nvSpPr>
            <xdr:cNvPr id="2135" name="Button 87" hidden="1">
              <a:extLst>
                <a:ext uri="{63B3BB69-23CF-44E3-9099-C40C66FF867C}">
                  <a14:compatExt spid="_x0000_s2135"/>
                </a:ext>
                <a:ext uri="{FF2B5EF4-FFF2-40B4-BE49-F238E27FC236}">
                  <a16:creationId xmlns:a16="http://schemas.microsoft.com/office/drawing/2014/main" xmlns=""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0</xdr:colOff>
          <xdr:row>62</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xmlns=""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62</xdr:row>
          <xdr:rowOff>0</xdr:rowOff>
        </xdr:from>
        <xdr:to>
          <xdr:col>12</xdr:col>
          <xdr:colOff>0</xdr:colOff>
          <xdr:row>63</xdr:row>
          <xdr:rowOff>0</xdr:rowOff>
        </xdr:to>
        <xdr:sp macro="" textlink="">
          <xdr:nvSpPr>
            <xdr:cNvPr id="2137" name="Button 89" hidden="1">
              <a:extLst>
                <a:ext uri="{63B3BB69-23CF-44E3-9099-C40C66FF867C}">
                  <a14:compatExt spid="_x0000_s2137"/>
                </a:ext>
                <a:ext uri="{FF2B5EF4-FFF2-40B4-BE49-F238E27FC236}">
                  <a16:creationId xmlns:a16="http://schemas.microsoft.com/office/drawing/2014/main" xmlns=""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63</xdr:row>
          <xdr:rowOff>0</xdr:rowOff>
        </xdr:from>
        <xdr:to>
          <xdr:col>12</xdr:col>
          <xdr:colOff>0</xdr:colOff>
          <xdr:row>64</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xmlns=""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64</xdr:row>
          <xdr:rowOff>0</xdr:rowOff>
        </xdr:from>
        <xdr:to>
          <xdr:col>12</xdr:col>
          <xdr:colOff>0</xdr:colOff>
          <xdr:row>65</xdr:row>
          <xdr:rowOff>0</xdr:rowOff>
        </xdr:to>
        <xdr:sp macro="" textlink="">
          <xdr:nvSpPr>
            <xdr:cNvPr id="2139" name="Button 91" hidden="1">
              <a:extLst>
                <a:ext uri="{63B3BB69-23CF-44E3-9099-C40C66FF867C}">
                  <a14:compatExt spid="_x0000_s2139"/>
                </a:ext>
                <a:ext uri="{FF2B5EF4-FFF2-40B4-BE49-F238E27FC236}">
                  <a16:creationId xmlns:a16="http://schemas.microsoft.com/office/drawing/2014/main" xmlns=""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65</xdr:row>
          <xdr:rowOff>0</xdr:rowOff>
        </xdr:from>
        <xdr:to>
          <xdr:col>12</xdr:col>
          <xdr:colOff>0</xdr:colOff>
          <xdr:row>66</xdr:row>
          <xdr:rowOff>0</xdr:rowOff>
        </xdr:to>
        <xdr:sp macro="" textlink="">
          <xdr:nvSpPr>
            <xdr:cNvPr id="2140" name="Button 92" hidden="1">
              <a:extLst>
                <a:ext uri="{63B3BB69-23CF-44E3-9099-C40C66FF867C}">
                  <a14:compatExt spid="_x0000_s2140"/>
                </a:ext>
                <a:ext uri="{FF2B5EF4-FFF2-40B4-BE49-F238E27FC236}">
                  <a16:creationId xmlns:a16="http://schemas.microsoft.com/office/drawing/2014/main" xmlns=""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66</xdr:row>
          <xdr:rowOff>0</xdr:rowOff>
        </xdr:from>
        <xdr:to>
          <xdr:col>12</xdr:col>
          <xdr:colOff>0</xdr:colOff>
          <xdr:row>67</xdr:row>
          <xdr:rowOff>0</xdr:rowOff>
        </xdr:to>
        <xdr:sp macro="" textlink="">
          <xdr:nvSpPr>
            <xdr:cNvPr id="2141" name="Button 93" hidden="1">
              <a:extLst>
                <a:ext uri="{63B3BB69-23CF-44E3-9099-C40C66FF867C}">
                  <a14:compatExt spid="_x0000_s2141"/>
                </a:ext>
                <a:ext uri="{FF2B5EF4-FFF2-40B4-BE49-F238E27FC236}">
                  <a16:creationId xmlns:a16="http://schemas.microsoft.com/office/drawing/2014/main" xmlns="" id="{00000000-0008-0000-0100-00005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67</xdr:row>
          <xdr:rowOff>0</xdr:rowOff>
        </xdr:from>
        <xdr:to>
          <xdr:col>12</xdr:col>
          <xdr:colOff>0</xdr:colOff>
          <xdr:row>68</xdr:row>
          <xdr:rowOff>0</xdr:rowOff>
        </xdr:to>
        <xdr:sp macro="" textlink="">
          <xdr:nvSpPr>
            <xdr:cNvPr id="2142" name="Button 94" hidden="1">
              <a:extLst>
                <a:ext uri="{63B3BB69-23CF-44E3-9099-C40C66FF867C}">
                  <a14:compatExt spid="_x0000_s2142"/>
                </a:ext>
                <a:ext uri="{FF2B5EF4-FFF2-40B4-BE49-F238E27FC236}">
                  <a16:creationId xmlns:a16="http://schemas.microsoft.com/office/drawing/2014/main" xmlns=""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28</xdr:row>
          <xdr:rowOff>0</xdr:rowOff>
        </xdr:from>
        <xdr:to>
          <xdr:col>18</xdr:col>
          <xdr:colOff>0</xdr:colOff>
          <xdr:row>31</xdr:row>
          <xdr:rowOff>0</xdr:rowOff>
        </xdr:to>
        <xdr:sp macro="" textlink="">
          <xdr:nvSpPr>
            <xdr:cNvPr id="2143" name="Button 95" hidden="1">
              <a:extLst>
                <a:ext uri="{63B3BB69-23CF-44E3-9099-C40C66FF867C}">
                  <a14:compatExt spid="_x0000_s2143"/>
                </a:ext>
                <a:ext uri="{FF2B5EF4-FFF2-40B4-BE49-F238E27FC236}">
                  <a16:creationId xmlns:a16="http://schemas.microsoft.com/office/drawing/2014/main" xmlns="" id="{00000000-0008-0000-0100-00005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Combine Elixirs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7</xdr:row>
          <xdr:rowOff>0</xdr:rowOff>
        </xdr:to>
        <xdr:sp macro="" textlink="">
          <xdr:nvSpPr>
            <xdr:cNvPr id="6147" name="Button 3" hidden="1">
              <a:extLst>
                <a:ext uri="{63B3BB69-23CF-44E3-9099-C40C66FF867C}">
                  <a14:compatExt spid="_x0000_s6147"/>
                </a:ext>
                <a:ext uri="{FF2B5EF4-FFF2-40B4-BE49-F238E27FC236}">
                  <a16:creationId xmlns:a16="http://schemas.microsoft.com/office/drawing/2014/main" xmlns=""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Craft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xmlns="" id="{00000000-0008-0000-0200-00000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Craft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6177" name="Button 33" hidden="1">
              <a:extLst>
                <a:ext uri="{63B3BB69-23CF-44E3-9099-C40C66FF867C}">
                  <a14:compatExt spid="_x0000_s6177"/>
                </a:ext>
                <a:ext uri="{FF2B5EF4-FFF2-40B4-BE49-F238E27FC236}">
                  <a16:creationId xmlns:a16="http://schemas.microsoft.com/office/drawing/2014/main" xmlns="" id="{00000000-0008-0000-0200-00002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6178" name="Button 34" hidden="1">
              <a:extLst>
                <a:ext uri="{63B3BB69-23CF-44E3-9099-C40C66FF867C}">
                  <a14:compatExt spid="_x0000_s6178"/>
                </a:ext>
                <a:ext uri="{FF2B5EF4-FFF2-40B4-BE49-F238E27FC236}">
                  <a16:creationId xmlns:a16="http://schemas.microsoft.com/office/drawing/2014/main" xmlns="" id="{00000000-0008-0000-0200-00002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6185" name="Button 41" hidden="1">
              <a:extLst>
                <a:ext uri="{63B3BB69-23CF-44E3-9099-C40C66FF867C}">
                  <a14:compatExt spid="_x0000_s6185"/>
                </a:ext>
                <a:ext uri="{FF2B5EF4-FFF2-40B4-BE49-F238E27FC236}">
                  <a16:creationId xmlns:a16="http://schemas.microsoft.com/office/drawing/2014/main" xmlns="" id="{00000000-0008-0000-0200-000029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Invent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1</xdr:col>
          <xdr:colOff>0</xdr:colOff>
          <xdr:row>10</xdr:row>
          <xdr:rowOff>0</xdr:rowOff>
        </xdr:to>
        <xdr:sp macro="" textlink="">
          <xdr:nvSpPr>
            <xdr:cNvPr id="6186" name="Button 42" hidden="1">
              <a:extLst>
                <a:ext uri="{63B3BB69-23CF-44E3-9099-C40C66FF867C}">
                  <a14:compatExt spid="_x0000_s6186"/>
                </a:ext>
                <a:ext uri="{FF2B5EF4-FFF2-40B4-BE49-F238E27FC236}">
                  <a16:creationId xmlns:a16="http://schemas.microsoft.com/office/drawing/2014/main" xmlns="" id="{00000000-0008-0000-0200-00002A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Invent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6187" name="Button 43" hidden="1">
              <a:extLst>
                <a:ext uri="{63B3BB69-23CF-44E3-9099-C40C66FF867C}">
                  <a14:compatExt spid="_x0000_s6187"/>
                </a:ext>
                <a:ext uri="{FF2B5EF4-FFF2-40B4-BE49-F238E27FC236}">
                  <a16:creationId xmlns:a16="http://schemas.microsoft.com/office/drawing/2014/main" xmlns="" id="{00000000-0008-0000-0200-00002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0</xdr:colOff>
          <xdr:row>10</xdr:row>
          <xdr:rowOff>0</xdr:rowOff>
        </xdr:to>
        <xdr:sp macro="" textlink="">
          <xdr:nvSpPr>
            <xdr:cNvPr id="6188" name="Button 44" hidden="1">
              <a:extLst>
                <a:ext uri="{63B3BB69-23CF-44E3-9099-C40C66FF867C}">
                  <a14:compatExt spid="_x0000_s6188"/>
                </a:ext>
                <a:ext uri="{FF2B5EF4-FFF2-40B4-BE49-F238E27FC236}">
                  <a16:creationId xmlns:a16="http://schemas.microsoft.com/office/drawing/2014/main" xmlns="" id="{00000000-0008-0000-0200-00002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7</xdr:row>
          <xdr:rowOff>0</xdr:rowOff>
        </xdr:from>
        <xdr:to>
          <xdr:col>11</xdr:col>
          <xdr:colOff>676275</xdr:colOff>
          <xdr:row>8</xdr:row>
          <xdr:rowOff>0</xdr:rowOff>
        </xdr:to>
        <xdr:sp macro="" textlink="">
          <xdr:nvSpPr>
            <xdr:cNvPr id="6190" name="Button 46" hidden="1">
              <a:extLst>
                <a:ext uri="{63B3BB69-23CF-44E3-9099-C40C66FF867C}">
                  <a14:compatExt spid="_x0000_s6190"/>
                </a:ext>
                <a:ext uri="{FF2B5EF4-FFF2-40B4-BE49-F238E27FC236}">
                  <a16:creationId xmlns:a16="http://schemas.microsoft.com/office/drawing/2014/main" xmlns="" id="{00000000-0008-0000-0200-00002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8</xdr:row>
          <xdr:rowOff>0</xdr:rowOff>
        </xdr:from>
        <xdr:to>
          <xdr:col>11</xdr:col>
          <xdr:colOff>676275</xdr:colOff>
          <xdr:row>9</xdr:row>
          <xdr:rowOff>0</xdr:rowOff>
        </xdr:to>
        <xdr:sp macro="" textlink="">
          <xdr:nvSpPr>
            <xdr:cNvPr id="6191" name="Button 47" hidden="1">
              <a:extLst>
                <a:ext uri="{63B3BB69-23CF-44E3-9099-C40C66FF867C}">
                  <a14:compatExt spid="_x0000_s6191"/>
                </a:ext>
                <a:ext uri="{FF2B5EF4-FFF2-40B4-BE49-F238E27FC236}">
                  <a16:creationId xmlns:a16="http://schemas.microsoft.com/office/drawing/2014/main" xmlns="" id="{00000000-0008-0000-0200-00002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9</xdr:row>
          <xdr:rowOff>0</xdr:rowOff>
        </xdr:from>
        <xdr:to>
          <xdr:col>11</xdr:col>
          <xdr:colOff>676275</xdr:colOff>
          <xdr:row>10</xdr:row>
          <xdr:rowOff>0</xdr:rowOff>
        </xdr:to>
        <xdr:sp macro="" textlink="">
          <xdr:nvSpPr>
            <xdr:cNvPr id="6192" name="Button 48" hidden="1">
              <a:extLst>
                <a:ext uri="{63B3BB69-23CF-44E3-9099-C40C66FF867C}">
                  <a14:compatExt spid="_x0000_s6192"/>
                </a:ext>
                <a:ext uri="{FF2B5EF4-FFF2-40B4-BE49-F238E27FC236}">
                  <a16:creationId xmlns:a16="http://schemas.microsoft.com/office/drawing/2014/main" xmlns="" id="{00000000-0008-0000-0200-000030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xdr:row>
          <xdr:rowOff>0</xdr:rowOff>
        </xdr:from>
        <xdr:to>
          <xdr:col>11</xdr:col>
          <xdr:colOff>676275</xdr:colOff>
          <xdr:row>7</xdr:row>
          <xdr:rowOff>0</xdr:rowOff>
        </xdr:to>
        <xdr:sp macro="" textlink="">
          <xdr:nvSpPr>
            <xdr:cNvPr id="6193" name="Button 49" hidden="1">
              <a:extLst>
                <a:ext uri="{63B3BB69-23CF-44E3-9099-C40C66FF867C}">
                  <a14:compatExt spid="_x0000_s6193"/>
                </a:ext>
                <a:ext uri="{FF2B5EF4-FFF2-40B4-BE49-F238E27FC236}">
                  <a16:creationId xmlns:a16="http://schemas.microsoft.com/office/drawing/2014/main" xmlns="" id="{00000000-0008-0000-0200-00003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6</xdr:row>
          <xdr:rowOff>0</xdr:rowOff>
        </xdr:from>
        <xdr:to>
          <xdr:col>12</xdr:col>
          <xdr:colOff>676275</xdr:colOff>
          <xdr:row>7</xdr:row>
          <xdr:rowOff>0</xdr:rowOff>
        </xdr:to>
        <xdr:sp macro="" textlink="">
          <xdr:nvSpPr>
            <xdr:cNvPr id="6195" name="Button 51" hidden="1">
              <a:extLst>
                <a:ext uri="{63B3BB69-23CF-44E3-9099-C40C66FF867C}">
                  <a14:compatExt spid="_x0000_s6195"/>
                </a:ext>
                <a:ext uri="{FF2B5EF4-FFF2-40B4-BE49-F238E27FC236}">
                  <a16:creationId xmlns:a16="http://schemas.microsoft.com/office/drawing/2014/main" xmlns="" id="{00000000-0008-0000-0200-00003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7</xdr:row>
          <xdr:rowOff>0</xdr:rowOff>
        </xdr:from>
        <xdr:to>
          <xdr:col>12</xdr:col>
          <xdr:colOff>676275</xdr:colOff>
          <xdr:row>8</xdr:row>
          <xdr:rowOff>0</xdr:rowOff>
        </xdr:to>
        <xdr:sp macro="" textlink="">
          <xdr:nvSpPr>
            <xdr:cNvPr id="6196" name="Button 52" hidden="1">
              <a:extLst>
                <a:ext uri="{63B3BB69-23CF-44E3-9099-C40C66FF867C}">
                  <a14:compatExt spid="_x0000_s6196"/>
                </a:ext>
                <a:ext uri="{FF2B5EF4-FFF2-40B4-BE49-F238E27FC236}">
                  <a16:creationId xmlns:a16="http://schemas.microsoft.com/office/drawing/2014/main" xmlns="" id="{00000000-0008-0000-0200-00003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8</xdr:row>
          <xdr:rowOff>0</xdr:rowOff>
        </xdr:from>
        <xdr:to>
          <xdr:col>12</xdr:col>
          <xdr:colOff>676275</xdr:colOff>
          <xdr:row>9</xdr:row>
          <xdr:rowOff>0</xdr:rowOff>
        </xdr:to>
        <xdr:sp macro="" textlink="">
          <xdr:nvSpPr>
            <xdr:cNvPr id="6197" name="Button 53" hidden="1">
              <a:extLst>
                <a:ext uri="{63B3BB69-23CF-44E3-9099-C40C66FF867C}">
                  <a14:compatExt spid="_x0000_s6197"/>
                </a:ext>
                <a:ext uri="{FF2B5EF4-FFF2-40B4-BE49-F238E27FC236}">
                  <a16:creationId xmlns:a16="http://schemas.microsoft.com/office/drawing/2014/main" xmlns="" id="{00000000-0008-0000-0200-00003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9</xdr:row>
          <xdr:rowOff>0</xdr:rowOff>
        </xdr:from>
        <xdr:to>
          <xdr:col>12</xdr:col>
          <xdr:colOff>676275</xdr:colOff>
          <xdr:row>10</xdr:row>
          <xdr:rowOff>0</xdr:rowOff>
        </xdr:to>
        <xdr:sp macro="" textlink="">
          <xdr:nvSpPr>
            <xdr:cNvPr id="6198" name="Button 54" hidden="1">
              <a:extLst>
                <a:ext uri="{63B3BB69-23CF-44E3-9099-C40C66FF867C}">
                  <a14:compatExt spid="_x0000_s6198"/>
                </a:ext>
                <a:ext uri="{FF2B5EF4-FFF2-40B4-BE49-F238E27FC236}">
                  <a16:creationId xmlns:a16="http://schemas.microsoft.com/office/drawing/2014/main" xmlns="" id="{00000000-0008-0000-0200-00003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78.xml"/><Relationship Id="rId34" Type="http://schemas.openxmlformats.org/officeDocument/2006/relationships/ctrlProp" Target="../ctrlProps/ctrlProp91.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 Id="rId2" Type="http://schemas.openxmlformats.org/officeDocument/2006/relationships/drawing" Target="../drawings/drawing2.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1" Type="http://schemas.openxmlformats.org/officeDocument/2006/relationships/printerSettings" Target="../printerSettings/printerSettings2.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18" Type="http://schemas.openxmlformats.org/officeDocument/2006/relationships/ctrlProp" Target="../ctrlProps/ctrlProp111.xml"/><Relationship Id="rId3" Type="http://schemas.openxmlformats.org/officeDocument/2006/relationships/ctrlProp" Target="../ctrlProps/ctrlProp96.xml"/><Relationship Id="rId7" Type="http://schemas.openxmlformats.org/officeDocument/2006/relationships/ctrlProp" Target="../ctrlProps/ctrlProp100.xml"/><Relationship Id="rId12" Type="http://schemas.openxmlformats.org/officeDocument/2006/relationships/ctrlProp" Target="../ctrlProps/ctrlProp105.xml"/><Relationship Id="rId17" Type="http://schemas.openxmlformats.org/officeDocument/2006/relationships/ctrlProp" Target="../ctrlProps/ctrlProp110.xml"/><Relationship Id="rId2" Type="http://schemas.openxmlformats.org/officeDocument/2006/relationships/vmlDrawing" Target="../drawings/vmlDrawing3.vml"/><Relationship Id="rId16" Type="http://schemas.openxmlformats.org/officeDocument/2006/relationships/ctrlProp" Target="../ctrlProps/ctrlProp109.xml"/><Relationship Id="rId1" Type="http://schemas.openxmlformats.org/officeDocument/2006/relationships/drawing" Target="../drawings/drawing3.xml"/><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5" Type="http://schemas.openxmlformats.org/officeDocument/2006/relationships/ctrlProp" Target="../ctrlProps/ctrlProp108.xml"/><Relationship Id="rId10" Type="http://schemas.openxmlformats.org/officeDocument/2006/relationships/ctrlProp" Target="../ctrlProps/ctrlProp103.xml"/><Relationship Id="rId4" Type="http://schemas.openxmlformats.org/officeDocument/2006/relationships/ctrlProp" Target="../ctrlProps/ctrlProp97.xml"/><Relationship Id="rId9" Type="http://schemas.openxmlformats.org/officeDocument/2006/relationships/ctrlProp" Target="../ctrlProps/ctrlProp102.xml"/><Relationship Id="rId14" Type="http://schemas.openxmlformats.org/officeDocument/2006/relationships/ctrlProp" Target="../ctrlProps/ctrlProp107.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149"/>
  <sheetViews>
    <sheetView tabSelected="1" zoomScale="80" zoomScaleNormal="80" workbookViewId="0">
      <selection activeCell="D17" sqref="D17"/>
    </sheetView>
  </sheetViews>
  <sheetFormatPr defaultRowHeight="14.25"/>
  <cols>
    <col min="1" max="3" width="10.875" customWidth="1"/>
    <col min="4" max="4" width="11.875" customWidth="1"/>
    <col min="5" max="5" width="9.875" customWidth="1"/>
    <col min="6" max="6" width="11.75" customWidth="1"/>
    <col min="7" max="7" width="13.25" customWidth="1"/>
    <col min="8" max="8" width="6.875" customWidth="1"/>
    <col min="9" max="9" width="7.25" customWidth="1"/>
    <col min="10" max="10" width="11.625" hidden="1" customWidth="1"/>
    <col min="11" max="12" width="9.125" hidden="1" customWidth="1"/>
    <col min="13" max="13" width="11" hidden="1" customWidth="1"/>
    <col min="14" max="14" width="12.875" hidden="1" customWidth="1"/>
    <col min="15" max="15" width="12.25" hidden="1" customWidth="1"/>
    <col min="16" max="16" width="11.75" hidden="1" customWidth="1"/>
    <col min="17" max="17" width="12.75" hidden="1" customWidth="1"/>
    <col min="18" max="18" width="12" hidden="1" customWidth="1"/>
    <col min="19" max="19" width="12.875" hidden="1" customWidth="1"/>
    <col min="20" max="20" width="8.875" customWidth="1"/>
    <col min="21" max="22" width="9.125" customWidth="1"/>
    <col min="23" max="23" width="7.625" customWidth="1"/>
  </cols>
  <sheetData>
    <row r="1" spans="1:15">
      <c r="H1" s="105"/>
      <c r="I1" s="105"/>
    </row>
    <row r="2" spans="1:15">
      <c r="H2" s="105"/>
      <c r="I2" s="105"/>
    </row>
    <row r="3" spans="1:15" ht="49.5" customHeight="1">
      <c r="B3" s="12" t="s">
        <v>0</v>
      </c>
      <c r="C3" s="12" t="s">
        <v>1</v>
      </c>
      <c r="D3" s="12" t="s">
        <v>2</v>
      </c>
      <c r="F3" s="2"/>
      <c r="G3" s="23" t="s">
        <v>3</v>
      </c>
      <c r="H3" s="126" t="s">
        <v>4</v>
      </c>
      <c r="I3" s="126"/>
    </row>
    <row r="4" spans="1:15" ht="16.149999999999999" customHeight="1">
      <c r="B4" s="14">
        <v>15</v>
      </c>
      <c r="C4" s="14">
        <f>10+D4+H7</f>
        <v>19</v>
      </c>
      <c r="D4" s="14">
        <f>4</f>
        <v>4</v>
      </c>
      <c r="F4" s="14" t="s">
        <v>5</v>
      </c>
      <c r="G4" s="13">
        <v>18</v>
      </c>
      <c r="H4" s="127">
        <f t="shared" ref="H4:H9" si="0">INT((G4-10)/2)</f>
        <v>4</v>
      </c>
      <c r="I4" s="127"/>
    </row>
    <row r="5" spans="1:15" ht="16.149999999999999" customHeight="1">
      <c r="F5" s="14" t="s">
        <v>6</v>
      </c>
      <c r="G5" s="13">
        <v>18</v>
      </c>
      <c r="H5" s="127">
        <f t="shared" si="0"/>
        <v>4</v>
      </c>
      <c r="I5" s="127"/>
    </row>
    <row r="6" spans="1:15" ht="16.149999999999999" customHeight="1">
      <c r="F6" s="14" t="s">
        <v>7</v>
      </c>
      <c r="G6" s="13">
        <v>18</v>
      </c>
      <c r="H6" s="127">
        <f t="shared" si="0"/>
        <v>4</v>
      </c>
      <c r="I6" s="127"/>
    </row>
    <row r="7" spans="1:15" ht="16.149999999999999" customHeight="1">
      <c r="F7" s="14" t="s">
        <v>8</v>
      </c>
      <c r="G7" s="13">
        <v>21</v>
      </c>
      <c r="H7" s="127">
        <f t="shared" si="0"/>
        <v>5</v>
      </c>
      <c r="I7" s="127"/>
    </row>
    <row r="8" spans="1:15" ht="16.149999999999999" customHeight="1">
      <c r="F8" s="14" t="s">
        <v>9</v>
      </c>
      <c r="G8" s="13">
        <v>16</v>
      </c>
      <c r="H8" s="127">
        <f t="shared" si="0"/>
        <v>3</v>
      </c>
      <c r="I8" s="127"/>
    </row>
    <row r="9" spans="1:15" ht="16.149999999999999" customHeight="1">
      <c r="F9" s="14" t="s">
        <v>10</v>
      </c>
      <c r="G9" s="13">
        <v>8</v>
      </c>
      <c r="H9" s="127">
        <f t="shared" si="0"/>
        <v>-1</v>
      </c>
      <c r="I9" s="127"/>
    </row>
    <row r="10" spans="1:15" ht="16.149999999999999" customHeight="1">
      <c r="H10" s="105"/>
      <c r="I10" s="105"/>
    </row>
    <row r="11" spans="1:15" ht="16.149999999999999" customHeight="1">
      <c r="H11" s="105"/>
      <c r="I11" s="105"/>
    </row>
    <row r="12" spans="1:15" ht="31.5" customHeight="1">
      <c r="B12" s="152" t="s">
        <v>11</v>
      </c>
      <c r="C12" s="152"/>
      <c r="G12" s="129" t="s">
        <v>12</v>
      </c>
      <c r="H12" s="130"/>
      <c r="I12" s="131"/>
      <c r="J12" s="30" t="s">
        <v>13</v>
      </c>
      <c r="K12" s="30" t="s">
        <v>14</v>
      </c>
      <c r="L12" s="30" t="s">
        <v>15</v>
      </c>
      <c r="M12" s="30" t="s">
        <v>16</v>
      </c>
      <c r="N12" s="30" t="s">
        <v>17</v>
      </c>
      <c r="O12" s="30" t="s">
        <v>18</v>
      </c>
    </row>
    <row r="13" spans="1:15" ht="18">
      <c r="A13" s="37" t="s">
        <v>19</v>
      </c>
      <c r="B13" s="36" t="s">
        <v>20</v>
      </c>
      <c r="C13" s="35" t="s">
        <v>21</v>
      </c>
      <c r="G13" s="132">
        <f>4+H8+SUM(J13:O13)</f>
        <v>11</v>
      </c>
      <c r="H13" s="133"/>
      <c r="I13" s="134"/>
      <c r="J13" s="3" t="str">
        <f>IF($X$52&lt;&gt;"",3,"")</f>
        <v/>
      </c>
      <c r="K13" s="3" t="str">
        <f>IF($X$56&lt;&gt;"",2,"")</f>
        <v/>
      </c>
      <c r="L13" s="3">
        <f>-MAX($X$40,$X$66,IF($X$72&lt;&gt;"",4,0),IF($X$28&lt;&gt;"",4,0))</f>
        <v>0</v>
      </c>
      <c r="M13" s="3" t="str">
        <f>IF(X62&lt;&gt;"",-2,"")</f>
        <v/>
      </c>
      <c r="N13" s="3"/>
      <c r="O13" s="3">
        <v>4</v>
      </c>
    </row>
    <row r="14" spans="1:15">
      <c r="A14" s="3"/>
      <c r="B14" s="5">
        <v>180</v>
      </c>
      <c r="C14" s="3">
        <f>10+(8+H6+1)*B4-X36*B4+IF(X64&lt;&gt;"",-(B4*2),0)</f>
        <v>205</v>
      </c>
      <c r="H14" s="105"/>
      <c r="I14" s="105"/>
    </row>
    <row r="15" spans="1:15" ht="15.6" customHeight="1">
      <c r="A15" s="69" t="s">
        <v>22</v>
      </c>
      <c r="H15" s="105"/>
      <c r="I15" s="105"/>
    </row>
    <row r="16" spans="1:15" ht="15.6" customHeight="1">
      <c r="A16" s="70"/>
      <c r="H16" s="105"/>
      <c r="I16" s="105"/>
    </row>
    <row r="17" spans="2:24" ht="31.5" customHeight="1">
      <c r="G17" s="135" t="s">
        <v>23</v>
      </c>
      <c r="H17" s="136"/>
      <c r="I17" s="137"/>
      <c r="J17" s="15" t="s">
        <v>24</v>
      </c>
      <c r="K17" s="15" t="s">
        <v>25</v>
      </c>
      <c r="L17" s="15" t="s">
        <v>26</v>
      </c>
      <c r="M17" s="16" t="s">
        <v>13</v>
      </c>
      <c r="N17" s="16" t="s">
        <v>16</v>
      </c>
      <c r="O17" s="16" t="s">
        <v>15</v>
      </c>
      <c r="P17" s="16" t="s">
        <v>27</v>
      </c>
      <c r="Q17" s="16" t="s">
        <v>14</v>
      </c>
      <c r="R17" s="16" t="s">
        <v>17</v>
      </c>
      <c r="S17" s="16"/>
    </row>
    <row r="18" spans="2:24" ht="16.149999999999999" customHeight="1">
      <c r="G18" s="138">
        <f>10+SUM(J18:S18)</f>
        <v>21</v>
      </c>
      <c r="H18" s="138"/>
      <c r="I18" s="138"/>
      <c r="J18" s="3">
        <v>2</v>
      </c>
      <c r="K18" s="3">
        <v>3</v>
      </c>
      <c r="L18" s="3">
        <f>4</f>
        <v>4</v>
      </c>
      <c r="M18" s="3">
        <f>MAX(2,IF($X$52&lt;&gt;"",6,0))</f>
        <v>2</v>
      </c>
      <c r="N18" s="3" t="str">
        <f>IF($X$50&lt;&gt;"",-1,IF($X$58&lt;&gt;"",-2,""))</f>
        <v/>
      </c>
      <c r="O18" s="3">
        <f>-MAX($X$30,IF($X$38&lt;&gt;"",1,0),$X$40,$X$66,IF($X$72&lt;&gt;"",4,0))</f>
        <v>0</v>
      </c>
      <c r="P18" s="3" t="str">
        <f>IF(OR($X$44&lt;&gt;"",$X$46&lt;&gt;""),-2,"")</f>
        <v/>
      </c>
      <c r="Q18" s="3"/>
      <c r="R18" s="3"/>
      <c r="S18" s="3"/>
    </row>
    <row r="19" spans="2:24" ht="16.149999999999999" customHeight="1">
      <c r="G19" s="128" t="str">
        <f>G18+4 &amp; "  (for ranged attacks)"</f>
        <v>25  (for ranged attacks)</v>
      </c>
      <c r="H19" s="128"/>
      <c r="I19" s="128"/>
    </row>
    <row r="20" spans="2:24" ht="15.75" customHeight="1">
      <c r="H20" s="105"/>
      <c r="I20" s="105"/>
    </row>
    <row r="21" spans="2:24" ht="15.75" customHeight="1">
      <c r="H21" s="105"/>
      <c r="I21" s="105"/>
    </row>
    <row r="22" spans="2:24" ht="16.149999999999999" customHeight="1">
      <c r="G22" s="159" t="s">
        <v>28</v>
      </c>
      <c r="H22" s="159"/>
      <c r="I22" s="159"/>
    </row>
    <row r="23" spans="2:24" ht="18" customHeight="1">
      <c r="G23" s="72">
        <f>25+J23+IF(X64&lt;&gt;"",15,0)+IF(X80&lt;&gt;"",-10,0)+IF(X84&lt;&gt;"",5,0)</f>
        <v>25</v>
      </c>
      <c r="H23" s="73" t="s">
        <v>29</v>
      </c>
      <c r="I23" s="74"/>
      <c r="J23" s="76"/>
    </row>
    <row r="24" spans="2:24" ht="16.149999999999999" customHeight="1">
      <c r="H24" s="105"/>
      <c r="I24" s="105"/>
    </row>
    <row r="25" spans="2:24" ht="16.149999999999999" customHeight="1">
      <c r="H25" s="105"/>
      <c r="I25" s="105"/>
    </row>
    <row r="26" spans="2:24" ht="28.5">
      <c r="G26" s="160" t="s">
        <v>30</v>
      </c>
      <c r="H26" s="161"/>
      <c r="I26" s="162"/>
      <c r="J26" s="17" t="s">
        <v>31</v>
      </c>
      <c r="K26" s="17" t="s">
        <v>32</v>
      </c>
      <c r="L26" s="17" t="s">
        <v>33</v>
      </c>
      <c r="M26" s="28" t="s">
        <v>16</v>
      </c>
      <c r="N26" s="28" t="s">
        <v>34</v>
      </c>
      <c r="O26" s="29" t="s">
        <v>14</v>
      </c>
      <c r="P26" s="29" t="s">
        <v>17</v>
      </c>
      <c r="Q26" s="29"/>
      <c r="R26" s="29"/>
      <c r="S26" s="29"/>
    </row>
    <row r="27" spans="2:24" ht="16.149999999999999" customHeight="1">
      <c r="G27" s="14" t="s">
        <v>35</v>
      </c>
      <c r="H27" s="132">
        <f>SUM(J27:S27)</f>
        <v>12</v>
      </c>
      <c r="I27" s="134"/>
      <c r="J27" s="3">
        <f>6</f>
        <v>6</v>
      </c>
      <c r="K27" s="3">
        <f>H6</f>
        <v>4</v>
      </c>
      <c r="L27" s="3">
        <f>MAX(2,IF($X$62&lt;&gt;"",3,0))</f>
        <v>2</v>
      </c>
      <c r="M27" s="3" t="str">
        <f>IF($X$64&lt;&gt;"",-2,"")</f>
        <v/>
      </c>
      <c r="N27" s="3">
        <f>-MAX($X$40,$X$66,$X$36)</f>
        <v>0</v>
      </c>
      <c r="O27" s="3" t="str">
        <f>IF($X$56&lt;&gt;"",2,"")</f>
        <v/>
      </c>
      <c r="P27" s="10"/>
      <c r="Q27" s="3"/>
      <c r="R27" s="3"/>
      <c r="S27" s="3"/>
      <c r="U27" s="151" t="s">
        <v>36</v>
      </c>
      <c r="V27" s="151"/>
      <c r="W27" s="151"/>
      <c r="X27" s="151"/>
    </row>
    <row r="28" spans="2:24" ht="16.149999999999999" customHeight="1">
      <c r="G28" s="14" t="s">
        <v>37</v>
      </c>
      <c r="H28" s="132">
        <f>SUM(J28:S28)</f>
        <v>12</v>
      </c>
      <c r="I28" s="134"/>
      <c r="J28" s="3">
        <v>6</v>
      </c>
      <c r="K28" s="3">
        <f>H5</f>
        <v>4</v>
      </c>
      <c r="L28" s="3">
        <f>MAX(2,IF($X$64&lt;&gt;"",3,0))</f>
        <v>2</v>
      </c>
      <c r="M28" s="3" t="str">
        <f>IF($X$52&lt;&gt;"",-1,"")</f>
        <v/>
      </c>
      <c r="N28" s="3">
        <f>-MAX($X$40,$X$66,$X$30)</f>
        <v>0</v>
      </c>
      <c r="O28" s="3" t="str">
        <f>IF($X$56&lt;&gt;"",2,"")</f>
        <v/>
      </c>
      <c r="P28" s="10"/>
      <c r="Q28" s="3"/>
      <c r="R28" s="3"/>
      <c r="S28" s="3"/>
      <c r="U28" s="104" t="s">
        <v>38</v>
      </c>
      <c r="V28" s="104"/>
      <c r="W28" s="10"/>
      <c r="X28" s="104"/>
    </row>
    <row r="29" spans="2:24" ht="16.149999999999999" customHeight="1">
      <c r="B29" s="11"/>
      <c r="C29" s="11"/>
      <c r="G29" s="14" t="s">
        <v>39</v>
      </c>
      <c r="H29" s="132">
        <f>SUM(J29:S29)</f>
        <v>9</v>
      </c>
      <c r="I29" s="134"/>
      <c r="J29" s="3">
        <f>4</f>
        <v>4</v>
      </c>
      <c r="K29" s="3">
        <f>H8</f>
        <v>3</v>
      </c>
      <c r="L29" s="3">
        <v>2</v>
      </c>
      <c r="M29" s="3">
        <f>MIN(IF($X$52&lt;&gt;"",-1,0),IF(X62&lt;&gt;"",-2,0))</f>
        <v>0</v>
      </c>
      <c r="N29" s="3">
        <f>-MAX($X$40,$X$66,$X$48)</f>
        <v>0</v>
      </c>
      <c r="O29" s="3" t="str">
        <f>IF($X$56&lt;&gt;"",2,"")</f>
        <v/>
      </c>
      <c r="P29" s="10"/>
      <c r="Q29" s="3"/>
      <c r="R29" s="3"/>
      <c r="S29" s="3"/>
      <c r="U29" s="104"/>
      <c r="V29" s="104"/>
      <c r="W29" s="10"/>
      <c r="X29" s="104"/>
    </row>
    <row r="30" spans="2:24" ht="16.149999999999999" customHeight="1">
      <c r="B30" s="11"/>
      <c r="C30" s="11"/>
      <c r="H30" s="105"/>
      <c r="I30" s="105"/>
      <c r="U30" s="104" t="s">
        <v>40</v>
      </c>
      <c r="V30" s="104"/>
      <c r="W30" s="10"/>
      <c r="X30" s="104"/>
    </row>
    <row r="31" spans="2:24" ht="16.149999999999999" customHeight="1">
      <c r="B31" s="11"/>
      <c r="C31" s="11"/>
      <c r="H31" s="105"/>
      <c r="I31" s="105"/>
      <c r="U31" s="104"/>
      <c r="V31" s="104"/>
      <c r="W31" s="10"/>
      <c r="X31" s="104"/>
    </row>
    <row r="32" spans="2:24" ht="16.149999999999999" customHeight="1">
      <c r="B32" s="11"/>
      <c r="C32" s="11"/>
      <c r="H32" s="105"/>
      <c r="I32" s="105"/>
      <c r="U32" s="104" t="s">
        <v>41</v>
      </c>
      <c r="V32" s="104"/>
      <c r="W32" s="10"/>
      <c r="X32" s="104"/>
    </row>
    <row r="33" spans="1:24" ht="18">
      <c r="A33" s="127" t="s">
        <v>42</v>
      </c>
      <c r="B33" s="127"/>
      <c r="C33" s="127"/>
      <c r="D33" s="139" t="s">
        <v>43</v>
      </c>
      <c r="E33" s="139"/>
      <c r="F33" s="139"/>
      <c r="G33" s="24" t="s">
        <v>44</v>
      </c>
      <c r="H33" s="149" t="s">
        <v>45</v>
      </c>
      <c r="I33" s="150"/>
      <c r="J33" s="18" t="s">
        <v>31</v>
      </c>
      <c r="K33" s="18" t="s">
        <v>32</v>
      </c>
      <c r="L33" s="18" t="s">
        <v>33</v>
      </c>
      <c r="M33" s="18" t="s">
        <v>14</v>
      </c>
      <c r="N33" s="18" t="s">
        <v>15</v>
      </c>
      <c r="O33" s="18" t="s">
        <v>17</v>
      </c>
      <c r="P33" s="18" t="s">
        <v>46</v>
      </c>
      <c r="Q33" s="18" t="s">
        <v>27</v>
      </c>
      <c r="R33" s="18"/>
      <c r="S33" s="18" t="s">
        <v>47</v>
      </c>
      <c r="U33" s="104"/>
      <c r="V33" s="104"/>
      <c r="W33" s="10"/>
      <c r="X33" s="104"/>
    </row>
    <row r="34" spans="1:24" ht="16.149999999999999" customHeight="1">
      <c r="A34" s="102"/>
      <c r="B34" s="102"/>
      <c r="C34" s="102"/>
      <c r="D34" s="141" t="s">
        <v>48</v>
      </c>
      <c r="E34" s="141"/>
      <c r="F34" s="142"/>
      <c r="G34" s="13">
        <f>SUM(J34:S34)</f>
        <v>10</v>
      </c>
      <c r="H34" s="38" t="s">
        <v>49</v>
      </c>
      <c r="I34" s="39" t="s">
        <v>50</v>
      </c>
      <c r="J34" s="3">
        <f>4</f>
        <v>4</v>
      </c>
      <c r="K34" s="3">
        <f>H5</f>
        <v>4</v>
      </c>
      <c r="L34" s="3">
        <f>MAX(2,IF($X$64&lt;&gt;"",3,0))</f>
        <v>2</v>
      </c>
      <c r="M34" s="3" t="str">
        <f>IF($X$56&lt;&gt;"",2,"")</f>
        <v/>
      </c>
      <c r="N34" s="3">
        <f>-MAX($X$40,$X$30,$X$66)</f>
        <v>0</v>
      </c>
      <c r="O34" s="3"/>
      <c r="P34" s="3" t="str">
        <f>IF($X$70&lt;&gt;"",-2,"")</f>
        <v/>
      </c>
      <c r="Q34" s="3" t="str">
        <f>IF($X$44&lt;&gt;"",-2,"")</f>
        <v/>
      </c>
      <c r="R34" s="3"/>
      <c r="S34" s="3"/>
      <c r="U34" s="104" t="s">
        <v>51</v>
      </c>
      <c r="V34" s="104"/>
      <c r="W34" s="10"/>
      <c r="X34" s="104"/>
    </row>
    <row r="35" spans="1:24" ht="16.149999999999999" customHeight="1">
      <c r="A35" s="11"/>
      <c r="B35" s="11"/>
      <c r="C35" s="11"/>
      <c r="D35" s="140" t="s">
        <v>52</v>
      </c>
      <c r="E35" s="141"/>
      <c r="F35" s="142"/>
      <c r="G35" s="13">
        <f>SUM(J35:S35)</f>
        <v>10</v>
      </c>
      <c r="H35" s="38" t="s">
        <v>53</v>
      </c>
      <c r="I35" s="39" t="str">
        <f>$H$4-$X$42+IF(X60&lt;&gt;"",3,0) &amp; " +1d6"</f>
        <v>4 +1d6</v>
      </c>
      <c r="J35" s="3">
        <f>4</f>
        <v>4</v>
      </c>
      <c r="K35" s="3">
        <f>H4</f>
        <v>4</v>
      </c>
      <c r="L35" s="3">
        <f>MAX(2,IF(OR($X$50&lt;&gt;"",$X$58&lt;&gt;""),3,0))</f>
        <v>2</v>
      </c>
      <c r="M35" s="3" t="str">
        <f>IF($X$56&lt;&gt;"",2,"")</f>
        <v/>
      </c>
      <c r="N35" s="3">
        <f>-MAX($X$40,$X$42,$X$66)</f>
        <v>0</v>
      </c>
      <c r="O35" s="3"/>
      <c r="P35" s="3" t="str">
        <f>IF($X$70&lt;&gt;"",-2,"")</f>
        <v/>
      </c>
      <c r="Q35" s="3" t="str">
        <f>IF($X$44&lt;&gt;"",-2,"")</f>
        <v/>
      </c>
      <c r="R35" s="3"/>
      <c r="S35" s="3"/>
      <c r="U35" s="104"/>
      <c r="V35" s="104"/>
      <c r="W35" s="10"/>
      <c r="X35" s="104"/>
    </row>
    <row r="36" spans="1:24" ht="16.149999999999999" customHeight="1">
      <c r="A36" s="11"/>
      <c r="B36" s="11"/>
      <c r="C36" s="11"/>
      <c r="D36" s="140" t="s">
        <v>54</v>
      </c>
      <c r="E36" s="141"/>
      <c r="F36" s="142"/>
      <c r="G36" s="13">
        <f>SUM(J36:S36)</f>
        <v>10</v>
      </c>
      <c r="H36" s="38" t="s">
        <v>49</v>
      </c>
      <c r="I36" s="39" t="str">
        <f>$H$4-$X$42+IF(X60&lt;&gt;"",3,0) &amp; " +1d6"</f>
        <v>4 +1d6</v>
      </c>
      <c r="J36" s="3">
        <f>4</f>
        <v>4</v>
      </c>
      <c r="K36" s="3">
        <f>H4</f>
        <v>4</v>
      </c>
      <c r="L36" s="3">
        <f>MAX(2,IF(OR($X$50&lt;&gt;"",$X$58&lt;&gt;""),3,0))</f>
        <v>2</v>
      </c>
      <c r="M36" s="3" t="str">
        <f>IF($X$56&lt;&gt;"",2,"")</f>
        <v/>
      </c>
      <c r="N36" s="3">
        <f>-MAX($X$40,$X$42,$X$66)</f>
        <v>0</v>
      </c>
      <c r="O36" s="3"/>
      <c r="P36" s="3" t="str">
        <f>IF($X$70&lt;&gt;"",-2,"")</f>
        <v/>
      </c>
      <c r="Q36" s="3" t="str">
        <f>IF($X$44&lt;&gt;"",-2,"")</f>
        <v/>
      </c>
      <c r="R36" s="3"/>
      <c r="S36" s="3"/>
      <c r="U36" s="104" t="s">
        <v>55</v>
      </c>
      <c r="V36" s="104"/>
      <c r="W36" s="10"/>
      <c r="X36" s="104"/>
    </row>
    <row r="37" spans="1:24" ht="16.149999999999999" customHeight="1">
      <c r="B37" s="11"/>
      <c r="C37" s="11"/>
      <c r="D37" s="140" t="s">
        <v>56</v>
      </c>
      <c r="E37" s="141"/>
      <c r="F37" s="142"/>
      <c r="G37" s="13">
        <f>SUM(J37:S37)</f>
        <v>10</v>
      </c>
      <c r="H37" s="155" t="s">
        <v>57</v>
      </c>
      <c r="I37" s="156"/>
      <c r="J37" s="3">
        <f>4</f>
        <v>4</v>
      </c>
      <c r="K37" s="3">
        <f>H5</f>
        <v>4</v>
      </c>
      <c r="L37" s="3">
        <f>MAX(2,IF($X$64&lt;&gt;"",3,0))</f>
        <v>2</v>
      </c>
      <c r="M37" s="3" t="str">
        <f>IF($X$56&lt;&gt;"",2,"")</f>
        <v/>
      </c>
      <c r="N37" s="3">
        <f>-MAX($X$40,$X$30,$X$66)</f>
        <v>0</v>
      </c>
      <c r="O37" s="3"/>
      <c r="P37" s="3" t="str">
        <f>IF($X$70&lt;&gt;"",-2,"")</f>
        <v/>
      </c>
      <c r="Q37" s="3" t="str">
        <f>IF($X$44&lt;&gt;"",-2,"")</f>
        <v/>
      </c>
      <c r="R37" s="3"/>
      <c r="S37" s="3"/>
      <c r="U37" s="104"/>
      <c r="V37" s="104"/>
      <c r="W37" s="10"/>
      <c r="X37" s="104"/>
    </row>
    <row r="38" spans="1:24" ht="16.149999999999999" customHeight="1">
      <c r="B38" s="11"/>
      <c r="C38" s="11"/>
      <c r="D38" s="140" t="s">
        <v>58</v>
      </c>
      <c r="E38" s="141"/>
      <c r="F38" s="142"/>
      <c r="G38" s="13">
        <f>SUM(J38:S38)</f>
        <v>9</v>
      </c>
      <c r="H38" s="155" t="s">
        <v>57</v>
      </c>
      <c r="I38" s="156"/>
      <c r="J38" s="3">
        <f>4</f>
        <v>4</v>
      </c>
      <c r="K38" s="3">
        <f>H5</f>
        <v>4</v>
      </c>
      <c r="L38" s="3">
        <f>MAX(1,IF($X$64&lt;&gt;"",3,0))</f>
        <v>1</v>
      </c>
      <c r="M38" s="3" t="str">
        <f>IF($X$56&lt;&gt;"",2,"")</f>
        <v/>
      </c>
      <c r="N38" s="3">
        <f>-MAX($X$40,$X$30,$X$66)</f>
        <v>0</v>
      </c>
      <c r="O38" s="3"/>
      <c r="P38" s="3" t="str">
        <f>IF($X$70&lt;&gt;"",-2,"")</f>
        <v/>
      </c>
      <c r="Q38" s="3" t="str">
        <f>IF($X$44&lt;&gt;"",-2,"")</f>
        <v/>
      </c>
      <c r="R38" s="3"/>
      <c r="S38" s="3"/>
      <c r="U38" s="104" t="s">
        <v>59</v>
      </c>
      <c r="V38" s="104"/>
      <c r="W38" s="10"/>
      <c r="X38" s="104"/>
    </row>
    <row r="39" spans="1:24" ht="16.149999999999999" customHeight="1">
      <c r="B39" s="11"/>
      <c r="C39" s="11"/>
      <c r="H39" s="105"/>
      <c r="I39" s="105"/>
      <c r="U39" s="104"/>
      <c r="V39" s="104"/>
      <c r="W39" s="10"/>
      <c r="X39" s="104"/>
    </row>
    <row r="40" spans="1:24" ht="16.149999999999999" customHeight="1">
      <c r="D40" t="s">
        <v>60</v>
      </c>
      <c r="H40" s="105"/>
      <c r="I40" s="105"/>
      <c r="U40" s="104" t="s">
        <v>61</v>
      </c>
      <c r="V40" s="104"/>
      <c r="W40" s="10"/>
      <c r="X40" s="104"/>
    </row>
    <row r="41" spans="1:24" ht="16.149999999999999" customHeight="1">
      <c r="H41" s="105"/>
      <c r="I41" s="105"/>
      <c r="U41" s="104"/>
      <c r="V41" s="104"/>
      <c r="W41" s="10"/>
      <c r="X41" s="104"/>
    </row>
    <row r="42" spans="1:24" ht="16.149999999999999" customHeight="1">
      <c r="H42" s="105"/>
      <c r="I42" s="105"/>
      <c r="U42" s="104" t="s">
        <v>62</v>
      </c>
      <c r="V42" s="104"/>
      <c r="W42" s="10"/>
      <c r="X42" s="104"/>
    </row>
    <row r="43" spans="1:24" ht="16.149999999999999" customHeight="1">
      <c r="H43" s="105"/>
      <c r="I43" s="105"/>
      <c r="O43" t="s">
        <v>63</v>
      </c>
      <c r="U43" s="104"/>
      <c r="V43" s="104"/>
      <c r="W43" s="10"/>
      <c r="X43" s="104"/>
    </row>
    <row r="44" spans="1:24" ht="16.149999999999999" customHeight="1">
      <c r="H44" s="105"/>
      <c r="I44" s="105"/>
      <c r="U44" s="104" t="s">
        <v>64</v>
      </c>
      <c r="V44" s="104"/>
      <c r="W44" s="10"/>
      <c r="X44" s="104"/>
    </row>
    <row r="45" spans="1:24" ht="16.149999999999999" customHeight="1">
      <c r="B45" s="143" t="s">
        <v>65</v>
      </c>
      <c r="C45" s="143"/>
      <c r="D45" s="143"/>
      <c r="F45" s="144" t="s">
        <v>66</v>
      </c>
      <c r="G45" s="145"/>
      <c r="H45" s="157" t="s">
        <v>67</v>
      </c>
      <c r="I45" s="158"/>
      <c r="J45" s="19" t="s">
        <v>68</v>
      </c>
      <c r="K45" s="19" t="s">
        <v>69</v>
      </c>
      <c r="L45" s="19" t="s">
        <v>33</v>
      </c>
      <c r="M45" s="19" t="s">
        <v>70</v>
      </c>
      <c r="N45" s="27" t="s">
        <v>16</v>
      </c>
      <c r="O45" s="27" t="s">
        <v>71</v>
      </c>
      <c r="P45" s="27" t="s">
        <v>72</v>
      </c>
      <c r="Q45" s="27" t="s">
        <v>73</v>
      </c>
      <c r="R45" s="27"/>
      <c r="S45" s="27"/>
      <c r="U45" s="104"/>
      <c r="V45" s="104"/>
      <c r="W45" s="10"/>
      <c r="X45" s="104"/>
    </row>
    <row r="46" spans="1:24" ht="16.149999999999999" customHeight="1">
      <c r="B46" s="103" t="s">
        <v>74</v>
      </c>
      <c r="C46" s="103"/>
      <c r="D46" s="103"/>
      <c r="F46" s="147" t="s">
        <v>75</v>
      </c>
      <c r="G46" s="147"/>
      <c r="H46" s="132">
        <f>SUM(J46:S46)</f>
        <v>4</v>
      </c>
      <c r="I46" s="134"/>
      <c r="J46" s="3">
        <v>0</v>
      </c>
      <c r="K46" s="3">
        <f>$H$5</f>
        <v>4</v>
      </c>
      <c r="L46" s="3" t="str">
        <f>IF($X$64&lt;&gt;"",3,"")</f>
        <v/>
      </c>
      <c r="M46" s="3" t="str">
        <f>IF($X$56&lt;&gt;"",2,"")</f>
        <v/>
      </c>
      <c r="N46" s="3" t="str">
        <f>IF($X$70&lt;&gt;"",-2,"")</f>
        <v/>
      </c>
      <c r="O46" s="3"/>
      <c r="P46" s="3">
        <f>-MAX($X$40,$X$66,$X$30)</f>
        <v>0</v>
      </c>
      <c r="Q46" s="3" t="str">
        <f>IF($G$4&gt;=12,"",$G$88)</f>
        <v/>
      </c>
      <c r="R46" s="3"/>
      <c r="S46" s="10"/>
      <c r="U46" s="104" t="s">
        <v>76</v>
      </c>
      <c r="V46" s="104"/>
      <c r="W46" s="10"/>
      <c r="X46" s="104"/>
    </row>
    <row r="47" spans="1:24" ht="16.149999999999999" customHeight="1">
      <c r="B47" s="103" t="s">
        <v>77</v>
      </c>
      <c r="C47" s="103"/>
      <c r="D47" s="103"/>
      <c r="F47" s="147" t="s">
        <v>78</v>
      </c>
      <c r="G47" s="147"/>
      <c r="H47" s="132">
        <f t="shared" ref="H47:H63" si="1">SUM(J47:S47)</f>
        <v>9</v>
      </c>
      <c r="I47" s="134"/>
      <c r="J47" s="3">
        <v>4</v>
      </c>
      <c r="K47" s="3">
        <f>$H$7</f>
        <v>5</v>
      </c>
      <c r="L47" s="3" t="str">
        <f>IF($X$70&lt;&gt;"",3,"")</f>
        <v/>
      </c>
      <c r="M47" s="3" t="str">
        <f>IF($X$56&lt;&gt;"",2,"")</f>
        <v/>
      </c>
      <c r="N47" s="3"/>
      <c r="O47" s="3"/>
      <c r="P47" s="3">
        <f>-MAX($X$40,$X$66,$X$48)</f>
        <v>0</v>
      </c>
      <c r="Q47" s="3"/>
      <c r="R47" s="3"/>
      <c r="S47" s="10"/>
      <c r="U47" s="104"/>
      <c r="V47" s="104"/>
      <c r="W47" s="10"/>
      <c r="X47" s="104"/>
    </row>
    <row r="48" spans="1:24" ht="16.149999999999999" customHeight="1">
      <c r="B48" s="103" t="s">
        <v>79</v>
      </c>
      <c r="C48" s="103"/>
      <c r="D48" s="103"/>
      <c r="F48" s="147" t="s">
        <v>80</v>
      </c>
      <c r="G48" s="147"/>
      <c r="H48" s="132">
        <f t="shared" si="1"/>
        <v>6</v>
      </c>
      <c r="I48" s="134"/>
      <c r="J48" s="3">
        <v>2</v>
      </c>
      <c r="K48" s="3">
        <f>H4</f>
        <v>4</v>
      </c>
      <c r="L48" s="3"/>
      <c r="M48" s="3">
        <f>MAX(IF(X56&lt;&gt;"",2,0),IF(OR($X$50&lt;&gt;"",$X$58&lt;&gt;""),3,0))</f>
        <v>0</v>
      </c>
      <c r="N48" s="3" t="str">
        <f>IF($X$70&lt;&gt;"",-2,"")</f>
        <v/>
      </c>
      <c r="O48" s="3"/>
      <c r="P48" s="3">
        <f>-MAX($X$40,$X$66,$X$42)</f>
        <v>0</v>
      </c>
      <c r="Q48" s="3" t="str">
        <f>IF($G$4&gt;=12,"",$G$88)</f>
        <v/>
      </c>
      <c r="R48" s="3"/>
      <c r="S48" s="10"/>
      <c r="U48" s="104" t="s">
        <v>81</v>
      </c>
      <c r="V48" s="104"/>
      <c r="W48" s="10"/>
      <c r="X48" s="104"/>
    </row>
    <row r="49" spans="2:25" ht="16.149999999999999" customHeight="1">
      <c r="B49" s="103" t="s">
        <v>82</v>
      </c>
      <c r="C49" s="103"/>
      <c r="D49" s="103"/>
      <c r="F49" s="147" t="s">
        <v>83</v>
      </c>
      <c r="G49" s="147"/>
      <c r="H49" s="132">
        <f t="shared" si="1"/>
        <v>11</v>
      </c>
      <c r="I49" s="134"/>
      <c r="J49" s="3">
        <f>6</f>
        <v>6</v>
      </c>
      <c r="K49" s="3">
        <f>$H$7</f>
        <v>5</v>
      </c>
      <c r="L49" s="3" t="str">
        <f>IF($X$70&lt;&gt;"",3,"")</f>
        <v/>
      </c>
      <c r="M49" s="3" t="str">
        <f t="shared" ref="M49:M63" si="2">IF($X$56&lt;&gt;"",2,"")</f>
        <v/>
      </c>
      <c r="N49" s="3"/>
      <c r="O49" s="3"/>
      <c r="P49" s="3">
        <f t="shared" ref="P49:P60" si="3">-MAX($X$40,$X$66,$X$48)</f>
        <v>0</v>
      </c>
      <c r="Q49" s="3"/>
      <c r="R49" s="3"/>
      <c r="S49" s="10"/>
      <c r="U49" s="104"/>
      <c r="V49" s="104"/>
      <c r="W49" s="10"/>
      <c r="X49" s="104"/>
    </row>
    <row r="50" spans="2:25" ht="16.149999999999999" customHeight="1">
      <c r="B50" s="103" t="s">
        <v>84</v>
      </c>
      <c r="C50" s="103"/>
      <c r="D50" s="103"/>
      <c r="F50" s="147" t="s">
        <v>85</v>
      </c>
      <c r="G50" s="147"/>
      <c r="H50" s="132">
        <f t="shared" si="1"/>
        <v>1</v>
      </c>
      <c r="I50" s="134"/>
      <c r="J50" s="3">
        <v>2</v>
      </c>
      <c r="K50" s="3">
        <f>$H$9</f>
        <v>-1</v>
      </c>
      <c r="L50" s="3"/>
      <c r="M50" s="3" t="str">
        <f t="shared" si="2"/>
        <v/>
      </c>
      <c r="N50" s="3"/>
      <c r="O50" s="3"/>
      <c r="P50" s="3">
        <f t="shared" si="3"/>
        <v>0</v>
      </c>
      <c r="Q50" s="3"/>
      <c r="R50" s="3"/>
      <c r="S50" s="10"/>
      <c r="U50" s="120" t="s">
        <v>86</v>
      </c>
      <c r="V50" s="121"/>
      <c r="W50" s="122"/>
      <c r="X50" s="104"/>
    </row>
    <row r="51" spans="2:25" ht="16.149999999999999" customHeight="1">
      <c r="B51" s="103" t="s">
        <v>87</v>
      </c>
      <c r="C51" s="103"/>
      <c r="D51" s="103"/>
      <c r="F51" s="147" t="s">
        <v>88</v>
      </c>
      <c r="G51" s="147"/>
      <c r="H51" s="132">
        <f t="shared" si="1"/>
        <v>1</v>
      </c>
      <c r="I51" s="134"/>
      <c r="J51" s="3">
        <v>2</v>
      </c>
      <c r="K51" s="3">
        <f>$H$9</f>
        <v>-1</v>
      </c>
      <c r="L51" s="3"/>
      <c r="M51" s="3" t="str">
        <f t="shared" si="2"/>
        <v/>
      </c>
      <c r="N51" s="3"/>
      <c r="O51" s="3"/>
      <c r="P51" s="3">
        <f t="shared" si="3"/>
        <v>0</v>
      </c>
      <c r="Q51" s="3"/>
      <c r="R51" s="3"/>
      <c r="S51" s="10"/>
      <c r="U51" s="123"/>
      <c r="V51" s="124"/>
      <c r="W51" s="125"/>
      <c r="X51" s="104"/>
    </row>
    <row r="52" spans="2:25" ht="16.149999999999999" customHeight="1">
      <c r="B52" s="103" t="s">
        <v>89</v>
      </c>
      <c r="C52" s="103"/>
      <c r="D52" s="103"/>
      <c r="F52" s="147" t="s">
        <v>90</v>
      </c>
      <c r="G52" s="147"/>
      <c r="H52" s="132">
        <f t="shared" si="1"/>
        <v>1</v>
      </c>
      <c r="I52" s="134"/>
      <c r="J52" s="3">
        <v>2</v>
      </c>
      <c r="K52" s="3">
        <f>$H$9</f>
        <v>-1</v>
      </c>
      <c r="L52" s="3" t="str">
        <f>IF(OR($X$50&lt;&gt;"",$X$58&lt;&gt;""),3,"")</f>
        <v/>
      </c>
      <c r="M52" s="3" t="str">
        <f t="shared" si="2"/>
        <v/>
      </c>
      <c r="N52" s="3"/>
      <c r="O52" s="3"/>
      <c r="P52" s="3">
        <f t="shared" si="3"/>
        <v>0</v>
      </c>
      <c r="Q52" s="3"/>
      <c r="R52" s="3"/>
      <c r="S52" s="10"/>
      <c r="U52" s="120" t="s">
        <v>91</v>
      </c>
      <c r="V52" s="121"/>
      <c r="W52" s="122"/>
      <c r="X52" s="104"/>
    </row>
    <row r="53" spans="2:25" ht="16.149999999999999" customHeight="1">
      <c r="B53" s="103" t="s">
        <v>92</v>
      </c>
      <c r="C53" s="103"/>
      <c r="D53" s="103"/>
      <c r="F53" s="147" t="s">
        <v>93</v>
      </c>
      <c r="G53" s="147"/>
      <c r="H53" s="132">
        <f t="shared" si="1"/>
        <v>7</v>
      </c>
      <c r="I53" s="134"/>
      <c r="J53" s="3">
        <v>2</v>
      </c>
      <c r="K53" s="3">
        <f>$H$7</f>
        <v>5</v>
      </c>
      <c r="L53" s="3" t="str">
        <f>IF($X$70&lt;&gt;"",3,"")</f>
        <v/>
      </c>
      <c r="M53" s="3" t="str">
        <f t="shared" si="2"/>
        <v/>
      </c>
      <c r="N53" s="3"/>
      <c r="O53" s="3"/>
      <c r="P53" s="3">
        <f t="shared" si="3"/>
        <v>0</v>
      </c>
      <c r="Q53" s="3"/>
      <c r="R53" s="3"/>
      <c r="S53" s="10"/>
      <c r="U53" s="123"/>
      <c r="V53" s="124"/>
      <c r="W53" s="125"/>
      <c r="X53" s="104"/>
    </row>
    <row r="54" spans="2:25" ht="16.149999999999999" customHeight="1">
      <c r="B54" s="103" t="s">
        <v>94</v>
      </c>
      <c r="C54" s="103"/>
      <c r="D54" s="103"/>
      <c r="F54" s="147" t="s">
        <v>95</v>
      </c>
      <c r="G54" s="147"/>
      <c r="H54" s="132">
        <f t="shared" si="1"/>
        <v>7</v>
      </c>
      <c r="I54" s="134"/>
      <c r="J54" s="3">
        <v>2</v>
      </c>
      <c r="K54" s="3">
        <f>$H$7</f>
        <v>5</v>
      </c>
      <c r="L54" s="3" t="str">
        <f>IF($X$70&lt;&gt;"",3,"")</f>
        <v/>
      </c>
      <c r="M54" s="3" t="str">
        <f t="shared" si="2"/>
        <v/>
      </c>
      <c r="N54" s="3"/>
      <c r="O54" s="3"/>
      <c r="P54" s="3">
        <f t="shared" si="3"/>
        <v>0</v>
      </c>
      <c r="Q54" s="3"/>
      <c r="R54" s="3"/>
      <c r="S54" s="10"/>
      <c r="U54" s="120" t="s">
        <v>96</v>
      </c>
      <c r="V54" s="121"/>
      <c r="W54" s="122"/>
      <c r="X54" s="104"/>
    </row>
    <row r="55" spans="2:25" ht="16.149999999999999" customHeight="1">
      <c r="B55" s="103" t="s">
        <v>97</v>
      </c>
      <c r="C55" s="103"/>
      <c r="D55" s="103"/>
      <c r="F55" s="147" t="s">
        <v>98</v>
      </c>
      <c r="G55" s="147"/>
      <c r="H55" s="132">
        <f t="shared" si="1"/>
        <v>7</v>
      </c>
      <c r="I55" s="134"/>
      <c r="J55" s="3">
        <v>4</v>
      </c>
      <c r="K55" s="3">
        <f>$H$8</f>
        <v>3</v>
      </c>
      <c r="L55" s="3"/>
      <c r="M55" s="3" t="str">
        <f t="shared" si="2"/>
        <v/>
      </c>
      <c r="N55" s="3"/>
      <c r="O55" s="3"/>
      <c r="P55" s="3">
        <f t="shared" si="3"/>
        <v>0</v>
      </c>
      <c r="Q55" s="3"/>
      <c r="R55" s="3"/>
      <c r="S55" s="10"/>
      <c r="U55" s="123"/>
      <c r="V55" s="124"/>
      <c r="W55" s="125"/>
      <c r="X55" s="104"/>
    </row>
    <row r="56" spans="2:25" ht="16.149999999999999" customHeight="1">
      <c r="B56" s="103" t="s">
        <v>99</v>
      </c>
      <c r="C56" s="103"/>
      <c r="D56" s="103"/>
      <c r="F56" s="147" t="s">
        <v>100</v>
      </c>
      <c r="G56" s="147"/>
      <c r="H56" s="132">
        <f t="shared" si="1"/>
        <v>5</v>
      </c>
      <c r="I56" s="134"/>
      <c r="J56" s="3">
        <v>2</v>
      </c>
      <c r="K56" s="3">
        <f>$H$8</f>
        <v>3</v>
      </c>
      <c r="L56" s="3"/>
      <c r="M56" s="3" t="str">
        <f t="shared" si="2"/>
        <v/>
      </c>
      <c r="N56" s="3"/>
      <c r="O56" s="3"/>
      <c r="P56" s="3">
        <f t="shared" si="3"/>
        <v>0</v>
      </c>
      <c r="Q56" s="3"/>
      <c r="R56" s="3"/>
      <c r="S56" s="10"/>
      <c r="U56" s="120" t="s">
        <v>101</v>
      </c>
      <c r="V56" s="121"/>
      <c r="W56" s="122"/>
      <c r="X56" s="104"/>
      <c r="Y56" s="40">
        <v>1</v>
      </c>
    </row>
    <row r="57" spans="2:25" ht="16.149999999999999" customHeight="1">
      <c r="B57" s="103" t="s">
        <v>102</v>
      </c>
      <c r="C57" s="103"/>
      <c r="D57" s="103"/>
      <c r="F57" s="147" t="s">
        <v>103</v>
      </c>
      <c r="G57" s="147"/>
      <c r="H57" s="132">
        <f t="shared" si="1"/>
        <v>7</v>
      </c>
      <c r="I57" s="134"/>
      <c r="J57" s="3">
        <v>2</v>
      </c>
      <c r="K57" s="3">
        <f>$H$7</f>
        <v>5</v>
      </c>
      <c r="L57" s="3" t="str">
        <f>IF($X$70&lt;&gt;"",3,"")</f>
        <v/>
      </c>
      <c r="M57" s="3" t="str">
        <f t="shared" si="2"/>
        <v/>
      </c>
      <c r="N57" s="3"/>
      <c r="O57" s="3"/>
      <c r="P57" s="3">
        <f t="shared" si="3"/>
        <v>0</v>
      </c>
      <c r="Q57" s="3"/>
      <c r="R57" s="3"/>
      <c r="S57" s="10"/>
      <c r="U57" s="123"/>
      <c r="V57" s="124"/>
      <c r="W57" s="125"/>
      <c r="X57" s="104"/>
    </row>
    <row r="58" spans="2:25" ht="16.149999999999999" customHeight="1">
      <c r="B58" s="103" t="s">
        <v>104</v>
      </c>
      <c r="C58" s="103"/>
      <c r="D58" s="103"/>
      <c r="F58" s="147" t="s">
        <v>105</v>
      </c>
      <c r="G58" s="147"/>
      <c r="H58" s="132">
        <f t="shared" si="1"/>
        <v>-1</v>
      </c>
      <c r="I58" s="134"/>
      <c r="J58" s="3">
        <v>0</v>
      </c>
      <c r="K58" s="3">
        <f>$H$9</f>
        <v>-1</v>
      </c>
      <c r="L58" s="3"/>
      <c r="M58" s="3" t="str">
        <f t="shared" si="2"/>
        <v/>
      </c>
      <c r="N58" s="3"/>
      <c r="O58" s="3"/>
      <c r="P58" s="3">
        <f t="shared" si="3"/>
        <v>0</v>
      </c>
      <c r="Q58" s="3"/>
      <c r="R58" s="3"/>
      <c r="S58" s="10"/>
      <c r="U58" s="120" t="s">
        <v>106</v>
      </c>
      <c r="V58" s="121"/>
      <c r="W58" s="122"/>
      <c r="X58" s="104"/>
    </row>
    <row r="59" spans="2:25" ht="16.149999999999999" customHeight="1">
      <c r="B59" s="103" t="s">
        <v>107</v>
      </c>
      <c r="C59" s="103"/>
      <c r="D59" s="103"/>
      <c r="F59" s="147" t="s">
        <v>108</v>
      </c>
      <c r="G59" s="147"/>
      <c r="H59" s="132">
        <f t="shared" si="1"/>
        <v>5</v>
      </c>
      <c r="I59" s="134"/>
      <c r="J59" s="3">
        <v>2</v>
      </c>
      <c r="K59" s="3">
        <f>$H$8</f>
        <v>3</v>
      </c>
      <c r="L59" s="3"/>
      <c r="M59" s="3" t="str">
        <f t="shared" si="2"/>
        <v/>
      </c>
      <c r="N59" s="3"/>
      <c r="O59" s="3"/>
      <c r="P59" s="3">
        <f t="shared" si="3"/>
        <v>0</v>
      </c>
      <c r="Q59" s="3"/>
      <c r="R59" s="3"/>
      <c r="S59" s="10"/>
      <c r="U59" s="123"/>
      <c r="V59" s="124"/>
      <c r="W59" s="125"/>
      <c r="X59" s="104"/>
    </row>
    <row r="60" spans="2:25" ht="16.149999999999999" customHeight="1">
      <c r="B60" s="103" t="s">
        <v>109</v>
      </c>
      <c r="C60" s="103"/>
      <c r="D60" s="103"/>
      <c r="F60" s="147" t="s">
        <v>110</v>
      </c>
      <c r="G60" s="147"/>
      <c r="H60" s="132">
        <f t="shared" si="1"/>
        <v>5</v>
      </c>
      <c r="I60" s="134"/>
      <c r="J60" s="3">
        <v>0</v>
      </c>
      <c r="K60" s="3">
        <f>$H$7</f>
        <v>5</v>
      </c>
      <c r="L60" s="3" t="str">
        <f>IF($X$70&lt;&gt;"",3,"")</f>
        <v/>
      </c>
      <c r="M60" s="3" t="str">
        <f t="shared" si="2"/>
        <v/>
      </c>
      <c r="N60" s="3"/>
      <c r="O60" s="3"/>
      <c r="P60" s="3">
        <f t="shared" si="3"/>
        <v>0</v>
      </c>
      <c r="Q60" s="3"/>
      <c r="R60" s="3"/>
      <c r="S60" s="10"/>
      <c r="U60" s="104" t="s">
        <v>111</v>
      </c>
      <c r="V60" s="104"/>
      <c r="W60" s="33"/>
      <c r="X60" s="104"/>
    </row>
    <row r="61" spans="2:25" ht="16.149999999999999" customHeight="1">
      <c r="B61" s="103" t="s">
        <v>112</v>
      </c>
      <c r="C61" s="103"/>
      <c r="D61" s="103"/>
      <c r="F61" s="147" t="s">
        <v>113</v>
      </c>
      <c r="G61" s="147"/>
      <c r="H61" s="132">
        <f t="shared" si="1"/>
        <v>8</v>
      </c>
      <c r="I61" s="134"/>
      <c r="J61" s="3">
        <v>4</v>
      </c>
      <c r="K61" s="3">
        <f>$H$5</f>
        <v>4</v>
      </c>
      <c r="L61" s="3" t="str">
        <f>IF($X$64&lt;&gt;"",3,"")</f>
        <v/>
      </c>
      <c r="M61" s="3" t="str">
        <f t="shared" si="2"/>
        <v/>
      </c>
      <c r="N61" s="3"/>
      <c r="O61" s="3"/>
      <c r="P61" s="3">
        <f>-MAX($X$40,$X$66,$X$30)</f>
        <v>0</v>
      </c>
      <c r="Q61" s="3" t="str">
        <f>IF($G$4&gt;=12,"",$G$88)</f>
        <v/>
      </c>
      <c r="R61" s="3"/>
      <c r="S61" s="10"/>
      <c r="U61" s="104"/>
      <c r="V61" s="104"/>
      <c r="W61" s="33"/>
      <c r="X61" s="104"/>
    </row>
    <row r="62" spans="2:25" ht="16.149999999999999" customHeight="1">
      <c r="B62" s="103" t="s">
        <v>114</v>
      </c>
      <c r="C62" s="103"/>
      <c r="D62" s="103"/>
      <c r="F62" s="147" t="s">
        <v>115</v>
      </c>
      <c r="G62" s="147"/>
      <c r="H62" s="132">
        <f t="shared" si="1"/>
        <v>3</v>
      </c>
      <c r="I62" s="134"/>
      <c r="J62" s="3">
        <v>0</v>
      </c>
      <c r="K62" s="3">
        <f>$H$8</f>
        <v>3</v>
      </c>
      <c r="L62" s="3"/>
      <c r="M62" s="3" t="str">
        <f t="shared" si="2"/>
        <v/>
      </c>
      <c r="N62" s="3"/>
      <c r="O62" s="3"/>
      <c r="P62" s="3">
        <f>-MAX($X$40,$X$66,$X$48)</f>
        <v>0</v>
      </c>
      <c r="Q62" s="3"/>
      <c r="R62" s="3"/>
      <c r="S62" s="10"/>
      <c r="U62" s="120" t="s">
        <v>116</v>
      </c>
      <c r="V62" s="121"/>
      <c r="W62" s="122"/>
      <c r="X62" s="104"/>
    </row>
    <row r="63" spans="2:25" ht="16.149999999999999" customHeight="1">
      <c r="B63" s="103" t="s">
        <v>117</v>
      </c>
      <c r="C63" s="103"/>
      <c r="D63" s="103"/>
      <c r="F63" s="147" t="s">
        <v>118</v>
      </c>
      <c r="G63" s="147"/>
      <c r="H63" s="132">
        <f t="shared" si="1"/>
        <v>6</v>
      </c>
      <c r="I63" s="134"/>
      <c r="J63" s="3">
        <v>2</v>
      </c>
      <c r="K63" s="3">
        <f>$H$5</f>
        <v>4</v>
      </c>
      <c r="L63" s="3" t="str">
        <f>IF($X$64&lt;&gt;"",3,"")</f>
        <v/>
      </c>
      <c r="M63" s="3" t="str">
        <f t="shared" si="2"/>
        <v/>
      </c>
      <c r="N63" s="3"/>
      <c r="O63" s="3"/>
      <c r="P63" s="3">
        <f>-MAX($X$40,$X$66,$X$30)</f>
        <v>0</v>
      </c>
      <c r="Q63" s="3" t="str">
        <f>IF($G$4&gt;=12,"",$G$88)</f>
        <v/>
      </c>
      <c r="R63" s="3"/>
      <c r="S63" s="10"/>
      <c r="U63" s="123"/>
      <c r="V63" s="124"/>
      <c r="W63" s="125"/>
      <c r="X63" s="104"/>
    </row>
    <row r="64" spans="2:25" ht="16.149999999999999" customHeight="1">
      <c r="B64" s="103" t="s">
        <v>119</v>
      </c>
      <c r="C64" s="103"/>
      <c r="D64" s="103"/>
      <c r="H64" s="105"/>
      <c r="I64" s="105"/>
      <c r="U64" s="120" t="s">
        <v>120</v>
      </c>
      <c r="V64" s="121"/>
      <c r="W64" s="122"/>
      <c r="X64" s="104"/>
    </row>
    <row r="65" spans="2:24" ht="16.149999999999999" customHeight="1">
      <c r="B65" s="103" t="s">
        <v>121</v>
      </c>
      <c r="C65" s="103"/>
      <c r="D65" s="103"/>
      <c r="F65" s="146" t="s">
        <v>122</v>
      </c>
      <c r="G65" s="146"/>
      <c r="H65" s="148"/>
      <c r="I65" s="105"/>
      <c r="U65" s="123"/>
      <c r="V65" s="124"/>
      <c r="W65" s="125"/>
      <c r="X65" s="104"/>
    </row>
    <row r="66" spans="2:24" ht="16.149999999999999" customHeight="1">
      <c r="B66" s="103" t="s">
        <v>123</v>
      </c>
      <c r="C66" s="103"/>
      <c r="D66" s="103"/>
      <c r="F66" s="77" t="s">
        <v>124</v>
      </c>
      <c r="G66" s="77" t="s">
        <v>45</v>
      </c>
      <c r="H66" s="148"/>
      <c r="I66" s="105"/>
      <c r="U66" s="104" t="s">
        <v>125</v>
      </c>
      <c r="V66" s="104"/>
      <c r="W66" s="10"/>
      <c r="X66" s="104"/>
    </row>
    <row r="67" spans="2:24" ht="16.149999999999999" customHeight="1">
      <c r="B67" s="103" t="s">
        <v>111</v>
      </c>
      <c r="C67" s="103"/>
      <c r="D67" s="103"/>
      <c r="F67" s="3"/>
      <c r="G67" s="3"/>
      <c r="H67" s="148"/>
      <c r="I67" s="105"/>
      <c r="U67" s="104"/>
      <c r="V67" s="104"/>
      <c r="W67" s="10"/>
      <c r="X67" s="104"/>
    </row>
    <row r="68" spans="2:24" ht="16.149999999999999" customHeight="1">
      <c r="B68" s="103" t="s">
        <v>126</v>
      </c>
      <c r="C68" s="103"/>
      <c r="D68" s="103"/>
      <c r="F68" s="3"/>
      <c r="G68" s="3"/>
      <c r="H68" s="148"/>
      <c r="I68" s="105"/>
      <c r="U68" s="104" t="s">
        <v>127</v>
      </c>
      <c r="V68" s="104"/>
      <c r="W68" s="10"/>
      <c r="X68" s="153"/>
    </row>
    <row r="69" spans="2:24" ht="16.149999999999999" customHeight="1">
      <c r="B69" s="103" t="s">
        <v>128</v>
      </c>
      <c r="C69" s="103"/>
      <c r="D69" s="103"/>
      <c r="F69" s="3"/>
      <c r="G69" s="3"/>
      <c r="H69" s="148"/>
      <c r="I69" s="105"/>
      <c r="U69" s="104"/>
      <c r="V69" s="104"/>
      <c r="W69" s="10"/>
      <c r="X69" s="154"/>
    </row>
    <row r="70" spans="2:24" ht="16.149999999999999" customHeight="1">
      <c r="H70" s="105"/>
      <c r="I70" s="105"/>
      <c r="U70" s="120" t="s">
        <v>129</v>
      </c>
      <c r="V70" s="121"/>
      <c r="W70" s="122"/>
      <c r="X70" s="104"/>
    </row>
    <row r="71" spans="2:24" ht="16.149999999999999" customHeight="1">
      <c r="H71" s="105"/>
      <c r="I71" s="105"/>
      <c r="U71" s="123"/>
      <c r="V71" s="124"/>
      <c r="W71" s="125"/>
      <c r="X71" s="104"/>
    </row>
    <row r="72" spans="2:24" ht="16.149999999999999" customHeight="1">
      <c r="H72" s="105"/>
      <c r="I72" s="105"/>
      <c r="U72" s="104" t="s">
        <v>130</v>
      </c>
      <c r="V72" s="104"/>
      <c r="W72" s="10"/>
      <c r="X72" s="104"/>
    </row>
    <row r="73" spans="2:24" ht="16.149999999999999" customHeight="1">
      <c r="H73" s="105"/>
      <c r="I73" s="105"/>
      <c r="U73" s="104"/>
      <c r="V73" s="104"/>
      <c r="W73" s="10"/>
      <c r="X73" s="104"/>
    </row>
    <row r="74" spans="2:24" ht="16.149999999999999" customHeight="1">
      <c r="H74" s="105"/>
      <c r="I74" s="105"/>
      <c r="U74" s="104" t="s">
        <v>131</v>
      </c>
      <c r="V74" s="104"/>
      <c r="W74" s="10"/>
      <c r="X74" s="104"/>
    </row>
    <row r="75" spans="2:24" ht="18">
      <c r="B75" s="106" t="s">
        <v>132</v>
      </c>
      <c r="C75" s="106"/>
      <c r="D75" s="106"/>
      <c r="E75" s="106"/>
      <c r="F75" s="106"/>
      <c r="G75" s="106"/>
      <c r="H75" s="106"/>
      <c r="I75" s="106"/>
      <c r="U75" s="104"/>
      <c r="V75" s="104"/>
      <c r="W75" s="10"/>
      <c r="X75" s="104"/>
    </row>
    <row r="76" spans="2:24" ht="15.6" customHeight="1">
      <c r="B76" s="107" t="s">
        <v>133</v>
      </c>
      <c r="C76" s="107"/>
      <c r="D76" s="107"/>
      <c r="E76" s="107" t="s">
        <v>134</v>
      </c>
      <c r="F76" s="107"/>
      <c r="G76" s="107"/>
      <c r="H76" s="107"/>
      <c r="I76" s="107"/>
      <c r="U76" s="104" t="s">
        <v>135</v>
      </c>
      <c r="V76" s="104"/>
      <c r="W76" s="10"/>
      <c r="X76" s="104"/>
    </row>
    <row r="77" spans="2:24" ht="15.6" customHeight="1">
      <c r="B77" s="102" t="s">
        <v>136</v>
      </c>
      <c r="C77" s="102"/>
      <c r="D77" s="102"/>
      <c r="E77" s="102"/>
      <c r="F77" s="102"/>
      <c r="G77" s="102"/>
      <c r="H77" s="102"/>
      <c r="I77" s="102"/>
      <c r="U77" s="104"/>
      <c r="V77" s="104"/>
      <c r="W77" s="10"/>
      <c r="X77" s="104"/>
    </row>
    <row r="78" spans="2:24" ht="15.6" customHeight="1">
      <c r="B78" s="102" t="s">
        <v>137</v>
      </c>
      <c r="C78" s="102"/>
      <c r="D78" s="102"/>
      <c r="E78" s="102" t="s">
        <v>138</v>
      </c>
      <c r="F78" s="102"/>
      <c r="G78" s="102"/>
      <c r="H78" s="102"/>
      <c r="I78" s="102"/>
      <c r="U78" s="104" t="s">
        <v>139</v>
      </c>
      <c r="V78" s="104"/>
      <c r="W78" s="10"/>
      <c r="X78" s="104"/>
    </row>
    <row r="79" spans="2:24" ht="15.6" customHeight="1">
      <c r="B79" s="102" t="s">
        <v>140</v>
      </c>
      <c r="C79" s="102"/>
      <c r="D79" s="102"/>
      <c r="E79" s="108" t="s">
        <v>141</v>
      </c>
      <c r="F79" s="108"/>
      <c r="G79" s="108"/>
      <c r="H79" s="108"/>
      <c r="I79" s="108"/>
      <c r="U79" s="104"/>
      <c r="V79" s="104"/>
      <c r="W79" s="10"/>
      <c r="X79" s="104"/>
    </row>
    <row r="80" spans="2:24" ht="15.6" customHeight="1">
      <c r="B80" s="102" t="s">
        <v>142</v>
      </c>
      <c r="C80" s="102"/>
      <c r="D80" s="102"/>
      <c r="E80" s="102"/>
      <c r="F80" s="102"/>
      <c r="G80" s="102"/>
      <c r="H80" s="102"/>
      <c r="I80" s="102"/>
      <c r="U80" s="120" t="s">
        <v>143</v>
      </c>
      <c r="V80" s="121"/>
      <c r="W80" s="122"/>
      <c r="X80" s="104" t="str">
        <f>IF(I100&gt;5+H4+IF(X70&lt;&gt;"",-4,0),"✓","")</f>
        <v/>
      </c>
    </row>
    <row r="81" spans="1:24" ht="15.6" customHeight="1">
      <c r="H81" s="105"/>
      <c r="I81" s="105"/>
      <c r="U81" s="123"/>
      <c r="V81" s="124"/>
      <c r="W81" s="125"/>
      <c r="X81" s="104"/>
    </row>
    <row r="82" spans="1:24" ht="15.6" customHeight="1">
      <c r="H82" s="105"/>
      <c r="I82" s="105"/>
      <c r="U82" s="120" t="s">
        <v>144</v>
      </c>
      <c r="V82" s="121"/>
      <c r="W82" s="122"/>
      <c r="X82" s="104" t="str">
        <f>IF(COUNTIF('Alchemical Items'!AK$4:AK$13,"Mistform")&gt;=1,IF(INDEX('Alchemical Items'!AF$4:AK$13,MATCH("Mistform",'Alchemical Items'!AK$4:AK$13,0),2)+10&gt;'Alchemical Items'!$AF$4,"✓",""),"")</f>
        <v/>
      </c>
    </row>
    <row r="83" spans="1:24" ht="15.6" customHeight="1">
      <c r="H83" s="105"/>
      <c r="I83" s="105"/>
      <c r="U83" s="123"/>
      <c r="V83" s="124"/>
      <c r="W83" s="125"/>
      <c r="X83" s="104"/>
    </row>
    <row r="84" spans="1:24" ht="15.6" customHeight="1">
      <c r="H84" s="105"/>
      <c r="I84" s="105"/>
      <c r="U84" s="120" t="s">
        <v>145</v>
      </c>
      <c r="V84" s="121"/>
      <c r="W84" s="122"/>
      <c r="X84" s="104" t="str">
        <f>IF(COUNTIF('Alchemical Items'!AL$4:AL$13,"Cheetah")&gt;=1,IF(INDEX('Alchemical Items'!AF$4:AL$13,MATCH("Cheetah",'Alchemical Items'!AL$4:AL$13,0),2)+10&gt;'Alchemical Items'!$AF$4,"✓",""),"")</f>
        <v/>
      </c>
    </row>
    <row r="85" spans="1:24" ht="18">
      <c r="A85" s="166" t="s">
        <v>146</v>
      </c>
      <c r="B85" s="167"/>
      <c r="C85" s="167"/>
      <c r="D85" s="167"/>
      <c r="E85" s="167"/>
      <c r="F85" s="167"/>
      <c r="G85" s="167"/>
      <c r="H85" s="167"/>
      <c r="I85" s="168"/>
      <c r="U85" s="123"/>
      <c r="V85" s="124"/>
      <c r="W85" s="125"/>
      <c r="X85" s="104"/>
    </row>
    <row r="86" spans="1:24" ht="15.6" customHeight="1">
      <c r="A86" s="163" t="s">
        <v>133</v>
      </c>
      <c r="B86" s="164"/>
      <c r="C86" s="165"/>
      <c r="D86" s="163" t="s">
        <v>134</v>
      </c>
      <c r="E86" s="164"/>
      <c r="F86" s="164"/>
      <c r="G86" s="164"/>
      <c r="H86" s="165"/>
      <c r="I86" s="86" t="s">
        <v>147</v>
      </c>
      <c r="U86" s="120" t="s">
        <v>148</v>
      </c>
      <c r="V86" s="121"/>
      <c r="W86" s="122"/>
      <c r="X86" s="104" t="str">
        <f>IF(COUNTIF('Alchemical Items'!AM$4:AM$13,"Cateye")&gt;=1,IF(INDEX('Alchemical Items'!AF$4:AM$13,MATCH("Cateye",'Alchemical Items'!AM$4:AM$13,0),2)+10&gt;'Alchemical Items'!$AF$4,"✓",""),"")</f>
        <v/>
      </c>
    </row>
    <row r="87" spans="1:24" ht="15.6" customHeight="1">
      <c r="A87" s="113" t="s">
        <v>149</v>
      </c>
      <c r="B87" s="114"/>
      <c r="C87" s="115"/>
      <c r="D87" s="116"/>
      <c r="E87" s="117"/>
      <c r="F87" s="117"/>
      <c r="G87" s="117"/>
      <c r="H87" s="118"/>
      <c r="I87" s="3">
        <v>1</v>
      </c>
      <c r="U87" s="123"/>
      <c r="V87" s="124"/>
      <c r="W87" s="125"/>
      <c r="X87" s="104"/>
    </row>
    <row r="88" spans="1:24" ht="15.6" customHeight="1">
      <c r="A88" s="173" t="s">
        <v>150</v>
      </c>
      <c r="B88" s="174"/>
      <c r="C88" s="175"/>
      <c r="D88" s="3" t="s">
        <v>151</v>
      </c>
      <c r="E88" s="3">
        <v>0</v>
      </c>
      <c r="F88" s="3" t="s">
        <v>73</v>
      </c>
      <c r="G88" s="169">
        <v>-1</v>
      </c>
      <c r="H88" s="170"/>
      <c r="I88" s="3">
        <v>1</v>
      </c>
    </row>
    <row r="89" spans="1:24" ht="15.6" customHeight="1">
      <c r="A89" s="113" t="s">
        <v>152</v>
      </c>
      <c r="B89" s="114"/>
      <c r="C89" s="115"/>
      <c r="D89" s="116"/>
      <c r="E89" s="117"/>
      <c r="F89" s="117"/>
      <c r="G89" s="117"/>
      <c r="H89" s="118"/>
      <c r="I89" s="3">
        <v>1</v>
      </c>
    </row>
    <row r="90" spans="1:24" ht="15.6" customHeight="1">
      <c r="A90" s="113" t="s">
        <v>153</v>
      </c>
      <c r="B90" s="114"/>
      <c r="C90" s="115"/>
      <c r="D90" s="116"/>
      <c r="E90" s="117"/>
      <c r="F90" s="117"/>
      <c r="G90" s="117"/>
      <c r="H90" s="118"/>
      <c r="I90" s="3">
        <v>1</v>
      </c>
    </row>
    <row r="91" spans="1:24" ht="15.6" customHeight="1">
      <c r="A91" s="113" t="s">
        <v>154</v>
      </c>
      <c r="B91" s="114"/>
      <c r="C91" s="115"/>
      <c r="D91" s="116"/>
      <c r="E91" s="117"/>
      <c r="F91" s="117"/>
      <c r="G91" s="117"/>
      <c r="H91" s="118"/>
      <c r="I91" s="3">
        <v>6</v>
      </c>
    </row>
    <row r="92" spans="1:24" ht="15.6" customHeight="1">
      <c r="A92" s="169" t="s">
        <v>155</v>
      </c>
      <c r="B92" s="170"/>
      <c r="C92" s="3">
        <v>2</v>
      </c>
      <c r="D92" s="116"/>
      <c r="E92" s="117"/>
      <c r="F92" s="117"/>
      <c r="G92" s="117"/>
      <c r="H92" s="118"/>
      <c r="I92" s="3">
        <f>INT(C92/10)</f>
        <v>0</v>
      </c>
    </row>
    <row r="93" spans="1:24" ht="15.6" customHeight="1">
      <c r="A93" s="113" t="s">
        <v>156</v>
      </c>
      <c r="B93" s="114"/>
      <c r="C93" s="115"/>
      <c r="D93" s="116" t="s">
        <v>157</v>
      </c>
      <c r="E93" s="117"/>
      <c r="F93" s="117"/>
      <c r="G93" s="117"/>
      <c r="H93" s="118"/>
      <c r="I93" s="3">
        <v>0</v>
      </c>
    </row>
    <row r="94" spans="1:24" ht="15.6" customHeight="1">
      <c r="A94" s="116"/>
      <c r="B94" s="117"/>
      <c r="C94" s="118"/>
      <c r="D94" s="116"/>
      <c r="E94" s="117"/>
      <c r="F94" s="117"/>
      <c r="G94" s="117"/>
      <c r="H94" s="118"/>
      <c r="I94" s="3"/>
    </row>
    <row r="95" spans="1:24" ht="15.6" customHeight="1">
      <c r="A95" s="111" t="s">
        <v>158</v>
      </c>
      <c r="B95" s="111"/>
      <c r="C95" s="94">
        <v>4</v>
      </c>
      <c r="D95" s="116"/>
      <c r="E95" s="117"/>
      <c r="F95" s="117"/>
      <c r="G95" s="117"/>
      <c r="H95" s="118"/>
      <c r="I95" s="3">
        <v>2</v>
      </c>
    </row>
    <row r="96" spans="1:24" ht="15.6" customHeight="1">
      <c r="A96" s="113" t="s">
        <v>159</v>
      </c>
      <c r="B96" s="114"/>
      <c r="C96" s="115"/>
      <c r="D96" s="108" t="s">
        <v>160</v>
      </c>
      <c r="E96" s="102"/>
      <c r="F96" s="102"/>
      <c r="G96" s="102">
        <v>1</v>
      </c>
      <c r="H96" s="102"/>
      <c r="I96" s="3">
        <v>0</v>
      </c>
    </row>
    <row r="97" spans="1:9" ht="15.6" customHeight="1">
      <c r="A97" s="113"/>
      <c r="B97" s="114"/>
      <c r="C97" s="115"/>
      <c r="D97" s="116"/>
      <c r="E97" s="117"/>
      <c r="F97" s="117"/>
      <c r="G97" s="117"/>
      <c r="H97" s="118"/>
      <c r="I97" s="3"/>
    </row>
    <row r="98" spans="1:9" ht="15.6" customHeight="1">
      <c r="A98" s="113"/>
      <c r="B98" s="114"/>
      <c r="C98" s="115"/>
      <c r="D98" s="116"/>
      <c r="E98" s="117"/>
      <c r="F98" s="117"/>
      <c r="G98" s="117"/>
      <c r="H98" s="118"/>
      <c r="I98" s="3"/>
    </row>
    <row r="99" spans="1:9" ht="15.6" customHeight="1">
      <c r="A99" s="113"/>
      <c r="B99" s="114"/>
      <c r="C99" s="115"/>
      <c r="D99" s="116"/>
      <c r="E99" s="117"/>
      <c r="F99" s="117"/>
      <c r="G99" s="117"/>
      <c r="H99" s="118"/>
      <c r="I99" s="3"/>
    </row>
    <row r="100" spans="1:9" ht="15.6" customHeight="1">
      <c r="A100" s="87"/>
      <c r="B100" s="87"/>
      <c r="C100" s="87"/>
      <c r="D100" s="87"/>
      <c r="E100" s="87"/>
      <c r="F100" s="87"/>
      <c r="G100" s="171" t="s">
        <v>161</v>
      </c>
      <c r="H100" s="172"/>
      <c r="I100" s="3">
        <f>SUM(I87:I99)-I91+INT(SUM(E103:I103)/1000)</f>
        <v>6</v>
      </c>
    </row>
    <row r="101" spans="1:9" ht="15.6" customHeight="1">
      <c r="B101" s="26"/>
      <c r="C101" s="26"/>
      <c r="D101" s="26"/>
      <c r="E101" s="26"/>
      <c r="F101" s="26"/>
      <c r="G101" s="26"/>
      <c r="H101" s="112"/>
      <c r="I101" s="112"/>
    </row>
    <row r="102" spans="1:9" ht="15.6" customHeight="1">
      <c r="B102" s="120" t="s">
        <v>162</v>
      </c>
      <c r="C102" s="121"/>
      <c r="D102" s="122"/>
      <c r="E102" s="43" t="s">
        <v>163</v>
      </c>
      <c r="F102" s="43" t="s">
        <v>164</v>
      </c>
      <c r="G102" s="43" t="s">
        <v>165</v>
      </c>
      <c r="H102" s="104" t="s">
        <v>166</v>
      </c>
      <c r="I102" s="104"/>
    </row>
    <row r="103" spans="1:9" ht="15.6" customHeight="1">
      <c r="B103" s="123"/>
      <c r="C103" s="124"/>
      <c r="D103" s="125"/>
      <c r="E103" s="3"/>
      <c r="F103" s="3">
        <v>20</v>
      </c>
      <c r="G103" s="3">
        <v>33</v>
      </c>
      <c r="H103" s="119">
        <v>0</v>
      </c>
      <c r="I103" s="119"/>
    </row>
    <row r="104" spans="1:9" ht="15.6" customHeight="1">
      <c r="H104" s="105"/>
      <c r="I104" s="105"/>
    </row>
    <row r="105" spans="1:9" ht="15.6" customHeight="1">
      <c r="H105" s="105"/>
      <c r="I105" s="105"/>
    </row>
    <row r="106" spans="1:9" ht="15.6" customHeight="1">
      <c r="B106" s="109" t="s">
        <v>167</v>
      </c>
      <c r="C106" s="109"/>
      <c r="D106" s="109"/>
      <c r="E106" s="109"/>
      <c r="F106" s="109"/>
      <c r="G106" s="109"/>
      <c r="H106" s="109"/>
      <c r="I106" s="109"/>
    </row>
    <row r="107" spans="1:9" ht="15.6" customHeight="1">
      <c r="B107" s="110" t="s">
        <v>133</v>
      </c>
      <c r="C107" s="110"/>
      <c r="D107" s="110"/>
      <c r="E107" s="110" t="s">
        <v>134</v>
      </c>
      <c r="F107" s="110"/>
      <c r="G107" s="110"/>
      <c r="H107" s="110"/>
      <c r="I107" s="110"/>
    </row>
    <row r="108" spans="1:9" ht="15.6" customHeight="1">
      <c r="B108" s="102" t="s">
        <v>168</v>
      </c>
      <c r="C108" s="102"/>
      <c r="D108" s="3">
        <v>7</v>
      </c>
      <c r="E108" s="102"/>
      <c r="F108" s="102"/>
      <c r="G108" s="102"/>
      <c r="H108" s="102"/>
      <c r="I108" s="102"/>
    </row>
    <row r="109" spans="1:9" ht="15.6" customHeight="1">
      <c r="B109" s="102" t="s">
        <v>169</v>
      </c>
      <c r="C109" s="102"/>
      <c r="D109" s="102"/>
      <c r="E109" s="102"/>
      <c r="F109" s="102"/>
      <c r="G109" s="102"/>
      <c r="H109" s="102"/>
      <c r="I109" s="102"/>
    </row>
    <row r="110" spans="1:9" ht="15.6" customHeight="1">
      <c r="B110" s="102" t="s">
        <v>170</v>
      </c>
      <c r="C110" s="102"/>
      <c r="D110" s="102"/>
      <c r="E110" s="102"/>
      <c r="F110" s="102"/>
      <c r="G110" s="102"/>
      <c r="H110" s="102"/>
      <c r="I110" s="102"/>
    </row>
    <row r="111" spans="1:9" ht="15.6" customHeight="1">
      <c r="B111" s="102" t="s">
        <v>171</v>
      </c>
      <c r="C111" s="102"/>
      <c r="D111" s="102"/>
      <c r="E111" s="102"/>
      <c r="F111" s="102"/>
      <c r="G111" s="102"/>
      <c r="H111" s="102"/>
      <c r="I111" s="102"/>
    </row>
    <row r="112" spans="1:9" ht="15.6" customHeight="1">
      <c r="B112" s="102" t="s">
        <v>172</v>
      </c>
      <c r="C112" s="102"/>
      <c r="D112" s="102"/>
      <c r="E112" s="102"/>
      <c r="F112" s="102"/>
      <c r="G112" s="102"/>
      <c r="H112" s="102"/>
      <c r="I112" s="102"/>
    </row>
    <row r="113" spans="2:9" ht="15.6" customHeight="1">
      <c r="B113" s="102" t="s">
        <v>173</v>
      </c>
      <c r="C113" s="102"/>
      <c r="D113" s="102"/>
      <c r="E113" s="102"/>
      <c r="F113" s="102"/>
      <c r="G113" s="102"/>
      <c r="H113" s="102"/>
      <c r="I113" s="102"/>
    </row>
    <row r="114" spans="2:9" ht="15.6" customHeight="1">
      <c r="B114" s="102" t="s">
        <v>174</v>
      </c>
      <c r="C114" s="102"/>
      <c r="D114" s="102"/>
      <c r="E114" s="102"/>
      <c r="F114" s="102"/>
      <c r="G114" s="102"/>
      <c r="H114" s="102"/>
      <c r="I114" s="102"/>
    </row>
    <row r="115" spans="2:9" ht="15.6" customHeight="1">
      <c r="H115" s="105"/>
      <c r="I115" s="105"/>
    </row>
    <row r="116" spans="2:9" ht="15.6" customHeight="1">
      <c r="H116" s="105"/>
      <c r="I116" s="105"/>
    </row>
    <row r="117" spans="2:9" ht="15.6" customHeight="1">
      <c r="H117" s="105"/>
      <c r="I117" s="105"/>
    </row>
    <row r="118" spans="2:9" ht="15.6" customHeight="1">
      <c r="H118" s="105"/>
      <c r="I118" s="105"/>
    </row>
    <row r="119" spans="2:9" ht="15.6" customHeight="1">
      <c r="H119" s="105"/>
      <c r="I119" s="105"/>
    </row>
    <row r="120" spans="2:9" ht="15.6" customHeight="1">
      <c r="H120" s="105"/>
      <c r="I120" s="105"/>
    </row>
    <row r="121" spans="2:9" ht="15.6" customHeight="1">
      <c r="H121" s="105"/>
      <c r="I121" s="105"/>
    </row>
    <row r="122" spans="2:9" ht="15.6" customHeight="1">
      <c r="H122" s="105"/>
      <c r="I122" s="105"/>
    </row>
    <row r="123" spans="2:9" ht="15.6" customHeight="1">
      <c r="H123" s="105"/>
      <c r="I123" s="105"/>
    </row>
    <row r="124" spans="2:9" ht="15.6" customHeight="1">
      <c r="H124" s="105"/>
      <c r="I124" s="105"/>
    </row>
    <row r="125" spans="2:9" ht="15.6" customHeight="1">
      <c r="H125" s="105"/>
      <c r="I125" s="105"/>
    </row>
    <row r="126" spans="2:9" ht="15.6" customHeight="1">
      <c r="H126" s="105"/>
      <c r="I126" s="105"/>
    </row>
    <row r="127" spans="2:9" ht="15.6" customHeight="1">
      <c r="H127" s="105"/>
      <c r="I127" s="105"/>
    </row>
    <row r="128" spans="2:9" ht="15.6" customHeight="1">
      <c r="H128" s="105"/>
      <c r="I128" s="105"/>
    </row>
    <row r="129" spans="8:9" ht="15.6" customHeight="1">
      <c r="H129" s="105"/>
      <c r="I129" s="105"/>
    </row>
    <row r="130" spans="8:9" ht="15.6" customHeight="1">
      <c r="H130" s="105"/>
      <c r="I130" s="105"/>
    </row>
    <row r="131" spans="8:9" ht="15.6" customHeight="1">
      <c r="H131" s="105"/>
      <c r="I131" s="105"/>
    </row>
    <row r="132" spans="8:9" ht="15.6" customHeight="1">
      <c r="H132" s="105"/>
      <c r="I132" s="105"/>
    </row>
    <row r="133" spans="8:9" ht="15.6" customHeight="1">
      <c r="H133" s="105"/>
      <c r="I133" s="105"/>
    </row>
    <row r="134" spans="8:9" ht="15.6" customHeight="1">
      <c r="H134" s="105"/>
      <c r="I134" s="105"/>
    </row>
    <row r="135" spans="8:9" ht="15.6" customHeight="1">
      <c r="H135" s="105"/>
      <c r="I135" s="105"/>
    </row>
    <row r="136" spans="8:9" ht="15.6" customHeight="1">
      <c r="H136" s="105"/>
      <c r="I136" s="105"/>
    </row>
    <row r="137" spans="8:9" ht="15.6" customHeight="1">
      <c r="H137" s="105"/>
      <c r="I137" s="105"/>
    </row>
    <row r="138" spans="8:9" ht="15.6" customHeight="1">
      <c r="H138" s="105"/>
      <c r="I138" s="105"/>
    </row>
    <row r="139" spans="8:9" ht="15.6" customHeight="1">
      <c r="H139" s="105"/>
      <c r="I139" s="105"/>
    </row>
    <row r="140" spans="8:9" ht="15.6" customHeight="1">
      <c r="H140" s="105"/>
      <c r="I140" s="105"/>
    </row>
    <row r="141" spans="8:9" ht="15.6" customHeight="1">
      <c r="H141" s="105"/>
      <c r="I141" s="105"/>
    </row>
    <row r="142" spans="8:9">
      <c r="H142" s="105"/>
      <c r="I142" s="105"/>
    </row>
    <row r="143" spans="8:9">
      <c r="H143" s="105"/>
      <c r="I143" s="105"/>
    </row>
    <row r="144" spans="8:9">
      <c r="H144" s="105"/>
      <c r="I144" s="105"/>
    </row>
    <row r="145" spans="8:9">
      <c r="H145" s="105"/>
      <c r="I145" s="105"/>
    </row>
    <row r="146" spans="8:9">
      <c r="H146" s="105"/>
      <c r="I146" s="105"/>
    </row>
    <row r="147" spans="8:9">
      <c r="H147" s="105"/>
      <c r="I147" s="105"/>
    </row>
    <row r="148" spans="8:9">
      <c r="H148" s="105"/>
      <c r="I148" s="105"/>
    </row>
    <row r="149" spans="8:9">
      <c r="H149" s="105"/>
      <c r="I149" s="105"/>
    </row>
  </sheetData>
  <mergeCells count="289">
    <mergeCell ref="G88:H88"/>
    <mergeCell ref="A92:B92"/>
    <mergeCell ref="G100:H100"/>
    <mergeCell ref="A94:C94"/>
    <mergeCell ref="A86:C86"/>
    <mergeCell ref="D89:H89"/>
    <mergeCell ref="D90:H90"/>
    <mergeCell ref="D91:H91"/>
    <mergeCell ref="D92:H92"/>
    <mergeCell ref="D93:H93"/>
    <mergeCell ref="D94:H94"/>
    <mergeCell ref="D95:H95"/>
    <mergeCell ref="D97:H97"/>
    <mergeCell ref="A87:C87"/>
    <mergeCell ref="A88:C88"/>
    <mergeCell ref="A89:C89"/>
    <mergeCell ref="A90:C90"/>
    <mergeCell ref="A91:C91"/>
    <mergeCell ref="A93:C93"/>
    <mergeCell ref="A96:C96"/>
    <mergeCell ref="A97:C97"/>
    <mergeCell ref="D96:F96"/>
    <mergeCell ref="U84:W85"/>
    <mergeCell ref="X84:X85"/>
    <mergeCell ref="U86:W87"/>
    <mergeCell ref="X86:X87"/>
    <mergeCell ref="U82:W83"/>
    <mergeCell ref="X82:X83"/>
    <mergeCell ref="H66:I66"/>
    <mergeCell ref="H67:I67"/>
    <mergeCell ref="H68:I68"/>
    <mergeCell ref="H69:I69"/>
    <mergeCell ref="U70:W71"/>
    <mergeCell ref="X80:X81"/>
    <mergeCell ref="U80:W81"/>
    <mergeCell ref="U78:V79"/>
    <mergeCell ref="X78:X79"/>
    <mergeCell ref="U72:V73"/>
    <mergeCell ref="X72:X73"/>
    <mergeCell ref="D86:H86"/>
    <mergeCell ref="A85:I85"/>
    <mergeCell ref="D87:H87"/>
    <mergeCell ref="B12:C12"/>
    <mergeCell ref="U74:V75"/>
    <mergeCell ref="X74:X75"/>
    <mergeCell ref="U76:V77"/>
    <mergeCell ref="X76:X77"/>
    <mergeCell ref="U68:V69"/>
    <mergeCell ref="X68:X69"/>
    <mergeCell ref="U66:V67"/>
    <mergeCell ref="X66:X67"/>
    <mergeCell ref="H24:I24"/>
    <mergeCell ref="H60:I60"/>
    <mergeCell ref="H25:I25"/>
    <mergeCell ref="H37:I37"/>
    <mergeCell ref="H38:I38"/>
    <mergeCell ref="H45:I45"/>
    <mergeCell ref="H46:I46"/>
    <mergeCell ref="H47:I47"/>
    <mergeCell ref="H48:I48"/>
    <mergeCell ref="G22:I22"/>
    <mergeCell ref="G26:I26"/>
    <mergeCell ref="H27:I27"/>
    <mergeCell ref="H28:I28"/>
    <mergeCell ref="H29:I29"/>
    <mergeCell ref="H21:I21"/>
    <mergeCell ref="U27:X27"/>
    <mergeCell ref="U50:W51"/>
    <mergeCell ref="U28:V29"/>
    <mergeCell ref="H30:I30"/>
    <mergeCell ref="H31:I31"/>
    <mergeCell ref="H32:I32"/>
    <mergeCell ref="H41:I41"/>
    <mergeCell ref="H42:I42"/>
    <mergeCell ref="H43:I43"/>
    <mergeCell ref="U46:V47"/>
    <mergeCell ref="X38:X39"/>
    <mergeCell ref="U32:V33"/>
    <mergeCell ref="U34:V35"/>
    <mergeCell ref="X48:X49"/>
    <mergeCell ref="X28:X29"/>
    <mergeCell ref="B48:D48"/>
    <mergeCell ref="B50:D50"/>
    <mergeCell ref="F46:G46"/>
    <mergeCell ref="F47:G47"/>
    <mergeCell ref="H33:I33"/>
    <mergeCell ref="D38:F38"/>
    <mergeCell ref="X30:X31"/>
    <mergeCell ref="X32:X33"/>
    <mergeCell ref="X34:X35"/>
    <mergeCell ref="H44:I44"/>
    <mergeCell ref="H39:I39"/>
    <mergeCell ref="H40:I40"/>
    <mergeCell ref="U42:V43"/>
    <mergeCell ref="U44:V45"/>
    <mergeCell ref="U36:V37"/>
    <mergeCell ref="U30:V31"/>
    <mergeCell ref="X36:X37"/>
    <mergeCell ref="X40:X41"/>
    <mergeCell ref="H49:I49"/>
    <mergeCell ref="H50:I50"/>
    <mergeCell ref="U64:W65"/>
    <mergeCell ref="U58:W59"/>
    <mergeCell ref="F51:G51"/>
    <mergeCell ref="F52:G52"/>
    <mergeCell ref="F55:G55"/>
    <mergeCell ref="F48:G48"/>
    <mergeCell ref="F49:G49"/>
    <mergeCell ref="H55:I55"/>
    <mergeCell ref="U48:V49"/>
    <mergeCell ref="F59:G59"/>
    <mergeCell ref="F63:G63"/>
    <mergeCell ref="F58:G58"/>
    <mergeCell ref="F50:G50"/>
    <mergeCell ref="U60:V61"/>
    <mergeCell ref="U56:W57"/>
    <mergeCell ref="H65:I65"/>
    <mergeCell ref="U52:W53"/>
    <mergeCell ref="U54:W55"/>
    <mergeCell ref="H58:I58"/>
    <mergeCell ref="H57:I57"/>
    <mergeCell ref="H53:I53"/>
    <mergeCell ref="H54:I54"/>
    <mergeCell ref="B60:D60"/>
    <mergeCell ref="B58:D58"/>
    <mergeCell ref="B56:D56"/>
    <mergeCell ref="B76:D76"/>
    <mergeCell ref="B77:D77"/>
    <mergeCell ref="B78:D78"/>
    <mergeCell ref="B79:D79"/>
    <mergeCell ref="F65:G65"/>
    <mergeCell ref="H51:I51"/>
    <mergeCell ref="F61:G61"/>
    <mergeCell ref="F56:G56"/>
    <mergeCell ref="F57:G57"/>
    <mergeCell ref="F62:G62"/>
    <mergeCell ref="H52:I52"/>
    <mergeCell ref="F60:G60"/>
    <mergeCell ref="B61:D61"/>
    <mergeCell ref="B62:D62"/>
    <mergeCell ref="B57:D57"/>
    <mergeCell ref="B51:D51"/>
    <mergeCell ref="B52:D52"/>
    <mergeCell ref="B53:D53"/>
    <mergeCell ref="B54:D54"/>
    <mergeCell ref="F54:G54"/>
    <mergeCell ref="F53:G53"/>
    <mergeCell ref="X62:X63"/>
    <mergeCell ref="H61:I61"/>
    <mergeCell ref="H62:I62"/>
    <mergeCell ref="H63:I63"/>
    <mergeCell ref="H56:I56"/>
    <mergeCell ref="H59:I59"/>
    <mergeCell ref="X60:X61"/>
    <mergeCell ref="X56:X57"/>
    <mergeCell ref="U62:W63"/>
    <mergeCell ref="X58:X59"/>
    <mergeCell ref="X64:X65"/>
    <mergeCell ref="A33:C33"/>
    <mergeCell ref="B49:D49"/>
    <mergeCell ref="D33:F33"/>
    <mergeCell ref="D36:F36"/>
    <mergeCell ref="D37:F37"/>
    <mergeCell ref="B45:D45"/>
    <mergeCell ref="F45:G45"/>
    <mergeCell ref="B46:D46"/>
    <mergeCell ref="B47:D47"/>
    <mergeCell ref="D34:F34"/>
    <mergeCell ref="D35:F35"/>
    <mergeCell ref="A34:C34"/>
    <mergeCell ref="X42:X43"/>
    <mergeCell ref="X44:X45"/>
    <mergeCell ref="X54:X55"/>
    <mergeCell ref="X46:X47"/>
    <mergeCell ref="U38:V39"/>
    <mergeCell ref="X50:X51"/>
    <mergeCell ref="X52:X53"/>
    <mergeCell ref="U40:V41"/>
    <mergeCell ref="B55:D55"/>
    <mergeCell ref="B63:D63"/>
    <mergeCell ref="B59:D59"/>
    <mergeCell ref="H1:I1"/>
    <mergeCell ref="H2:I2"/>
    <mergeCell ref="H10:I10"/>
    <mergeCell ref="H11:I11"/>
    <mergeCell ref="H14:I14"/>
    <mergeCell ref="H15:I15"/>
    <mergeCell ref="H16:I16"/>
    <mergeCell ref="H20:I20"/>
    <mergeCell ref="H3:I3"/>
    <mergeCell ref="H4:I4"/>
    <mergeCell ref="H5:I5"/>
    <mergeCell ref="H6:I6"/>
    <mergeCell ref="H7:I7"/>
    <mergeCell ref="H8:I8"/>
    <mergeCell ref="H9:I9"/>
    <mergeCell ref="G19:I19"/>
    <mergeCell ref="G12:I12"/>
    <mergeCell ref="G13:I13"/>
    <mergeCell ref="G17:I17"/>
    <mergeCell ref="G18:I18"/>
    <mergeCell ref="H144:I144"/>
    <mergeCell ref="H117:I117"/>
    <mergeCell ref="H118:I118"/>
    <mergeCell ref="H119:I119"/>
    <mergeCell ref="B107:D107"/>
    <mergeCell ref="B109:D109"/>
    <mergeCell ref="H102:I102"/>
    <mergeCell ref="H103:I103"/>
    <mergeCell ref="B102:D103"/>
    <mergeCell ref="H116:I116"/>
    <mergeCell ref="H137:I137"/>
    <mergeCell ref="H138:I138"/>
    <mergeCell ref="B110:D110"/>
    <mergeCell ref="E110:I110"/>
    <mergeCell ref="B111:D111"/>
    <mergeCell ref="E111:I111"/>
    <mergeCell ref="H123:I123"/>
    <mergeCell ref="H124:I124"/>
    <mergeCell ref="H125:I125"/>
    <mergeCell ref="G96:H96"/>
    <mergeCell ref="A95:B95"/>
    <mergeCell ref="H128:I128"/>
    <mergeCell ref="H145:I145"/>
    <mergeCell ref="H146:I146"/>
    <mergeCell ref="H129:I129"/>
    <mergeCell ref="H130:I130"/>
    <mergeCell ref="H131:I131"/>
    <mergeCell ref="H132:I132"/>
    <mergeCell ref="H133:I133"/>
    <mergeCell ref="H142:I142"/>
    <mergeCell ref="H141:I141"/>
    <mergeCell ref="H136:I136"/>
    <mergeCell ref="E109:I109"/>
    <mergeCell ref="B108:C108"/>
    <mergeCell ref="H101:I101"/>
    <mergeCell ref="A98:C98"/>
    <mergeCell ref="A99:C99"/>
    <mergeCell ref="D98:H98"/>
    <mergeCell ref="D99:H99"/>
    <mergeCell ref="H143:I143"/>
    <mergeCell ref="H134:I134"/>
    <mergeCell ref="H135:I135"/>
    <mergeCell ref="H139:I139"/>
    <mergeCell ref="H140:I140"/>
    <mergeCell ref="H126:I126"/>
    <mergeCell ref="H127:I127"/>
    <mergeCell ref="H149:I149"/>
    <mergeCell ref="B75:I75"/>
    <mergeCell ref="E76:I76"/>
    <mergeCell ref="E77:I77"/>
    <mergeCell ref="E78:I78"/>
    <mergeCell ref="E79:I79"/>
    <mergeCell ref="E80:I80"/>
    <mergeCell ref="H81:I81"/>
    <mergeCell ref="H115:I115"/>
    <mergeCell ref="H104:I104"/>
    <mergeCell ref="H105:I105"/>
    <mergeCell ref="B106:I106"/>
    <mergeCell ref="E107:I107"/>
    <mergeCell ref="E108:I108"/>
    <mergeCell ref="H147:I147"/>
    <mergeCell ref="H120:I120"/>
    <mergeCell ref="H121:I121"/>
    <mergeCell ref="H122:I122"/>
    <mergeCell ref="B112:D112"/>
    <mergeCell ref="E112:I112"/>
    <mergeCell ref="B113:D113"/>
    <mergeCell ref="E113:I113"/>
    <mergeCell ref="B114:D114"/>
    <mergeCell ref="E114:I114"/>
    <mergeCell ref="B64:D64"/>
    <mergeCell ref="X70:X71"/>
    <mergeCell ref="H148:I148"/>
    <mergeCell ref="H64:I64"/>
    <mergeCell ref="H70:I70"/>
    <mergeCell ref="H71:I71"/>
    <mergeCell ref="B67:D67"/>
    <mergeCell ref="B68:D68"/>
    <mergeCell ref="B69:D69"/>
    <mergeCell ref="B65:D65"/>
    <mergeCell ref="B66:D66"/>
    <mergeCell ref="H72:I72"/>
    <mergeCell ref="H73:I73"/>
    <mergeCell ref="H74:I74"/>
    <mergeCell ref="H82:I82"/>
    <mergeCell ref="H83:I83"/>
    <mergeCell ref="H84:I84"/>
    <mergeCell ref="B80:D80"/>
  </mergeCells>
  <dataValidations count="1">
    <dataValidation type="list" allowBlank="1" showInputMessage="1" showErrorMessage="1" sqref="F67:F69">
      <formula1>"Fire,Cold,Acid,Electricity,Peircing,Bludgeoning,Slashing,Positive,Negative,Good,Evil,Lawful,Chaotic,Mental,Poison,Bleed"</formula1>
    </dataValidation>
  </dataValidations>
  <pageMargins left="0.7" right="0.7" top="0.75" bottom="0.75" header="0.3" footer="0.3"/>
  <pageSetup paperSize="9" orientation="portrait" r:id="rId1"/>
  <ignoredErrors>
    <ignoredError sqref="K6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estial1AC">
                <anchor moveWithCells="1" sizeWithCells="1">
                  <from>
                    <xdr:col>20</xdr:col>
                    <xdr:colOff>0</xdr:colOff>
                    <xdr:row>3</xdr:row>
                    <xdr:rowOff>0</xdr:rowOff>
                  </from>
                  <to>
                    <xdr:col>22</xdr:col>
                    <xdr:colOff>9525</xdr:colOff>
                    <xdr:row>5</xdr:row>
                    <xdr:rowOff>0</xdr:rowOff>
                  </to>
                </anchor>
              </controlPr>
            </control>
          </mc:Choice>
        </mc:AlternateContent>
        <mc:AlternateContent xmlns:mc="http://schemas.openxmlformats.org/markup-compatibility/2006">
          <mc:Choice Requires="x14">
            <control shapeId="1027" r:id="rId5" name="Button 3">
              <controlPr defaultSize="0" print="0" autoFill="0" autoPict="0" macro="[0]!Bestial2AC">
                <anchor moveWithCells="1" sizeWithCells="1">
                  <from>
                    <xdr:col>23</xdr:col>
                    <xdr:colOff>0</xdr:colOff>
                    <xdr:row>3</xdr:row>
                    <xdr:rowOff>0</xdr:rowOff>
                  </from>
                  <to>
                    <xdr:col>25</xdr:col>
                    <xdr:colOff>9525</xdr:colOff>
                    <xdr:row>5</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estial1ACClear">
                <anchor moveWithCells="1" sizeWithCells="1">
                  <from>
                    <xdr:col>25</xdr:col>
                    <xdr:colOff>590550</xdr:colOff>
                    <xdr:row>3</xdr:row>
                    <xdr:rowOff>0</xdr:rowOff>
                  </from>
                  <to>
                    <xdr:col>28</xdr:col>
                    <xdr:colOff>0</xdr:colOff>
                    <xdr:row>5</xdr:row>
                    <xdr:rowOff>0</xdr:rowOff>
                  </to>
                </anchor>
              </controlPr>
            </control>
          </mc:Choice>
        </mc:AlternateContent>
        <mc:AlternateContent xmlns:mc="http://schemas.openxmlformats.org/markup-compatibility/2006">
          <mc:Choice Requires="x14">
            <control shapeId="1029" r:id="rId7" name="Button 5">
              <controlPr defaultSize="0" print="0" autoFill="0" autoPict="0" macro="[0]!Drakeheart">
                <anchor moveWithCells="1" sizeWithCells="1">
                  <from>
                    <xdr:col>20</xdr:col>
                    <xdr:colOff>0</xdr:colOff>
                    <xdr:row>7</xdr:row>
                    <xdr:rowOff>0</xdr:rowOff>
                  </from>
                  <to>
                    <xdr:col>22</xdr:col>
                    <xdr:colOff>9525</xdr:colOff>
                    <xdr:row>9</xdr:row>
                    <xdr:rowOff>0</xdr:rowOff>
                  </to>
                </anchor>
              </controlPr>
            </control>
          </mc:Choice>
        </mc:AlternateContent>
        <mc:AlternateContent xmlns:mc="http://schemas.openxmlformats.org/markup-compatibility/2006">
          <mc:Choice Requires="x14">
            <control shapeId="1030" r:id="rId8" name="Button 6">
              <controlPr defaultSize="0" print="0" autoFill="0" autoPict="0" macro="[0]!DrakeheartDeactivate">
                <anchor moveWithCells="1" sizeWithCells="1">
                  <from>
                    <xdr:col>23</xdr:col>
                    <xdr:colOff>0</xdr:colOff>
                    <xdr:row>6</xdr:row>
                    <xdr:rowOff>190500</xdr:rowOff>
                  </from>
                  <to>
                    <xdr:col>25</xdr:col>
                    <xdr:colOff>9525</xdr:colOff>
                    <xdr:row>8</xdr:row>
                    <xdr:rowOff>190500</xdr:rowOff>
                  </to>
                </anchor>
              </controlPr>
            </control>
          </mc:Choice>
        </mc:AlternateContent>
        <mc:AlternateContent xmlns:mc="http://schemas.openxmlformats.org/markup-compatibility/2006">
          <mc:Choice Requires="x14">
            <control shapeId="1035" r:id="rId9" name="Button 11">
              <controlPr defaultSize="0" print="0" autoFill="0" autoPict="0" macro="[0]!Heroism">
                <anchor moveWithCells="1" sizeWithCells="1">
                  <from>
                    <xdr:col>20</xdr:col>
                    <xdr:colOff>0</xdr:colOff>
                    <xdr:row>14</xdr:row>
                    <xdr:rowOff>0</xdr:rowOff>
                  </from>
                  <to>
                    <xdr:col>21</xdr:col>
                    <xdr:colOff>600075</xdr:colOff>
                    <xdr:row>16</xdr:row>
                    <xdr:rowOff>19050</xdr:rowOff>
                  </to>
                </anchor>
              </controlPr>
            </control>
          </mc:Choice>
        </mc:AlternateContent>
        <mc:AlternateContent xmlns:mc="http://schemas.openxmlformats.org/markup-compatibility/2006">
          <mc:Choice Requires="x14">
            <control shapeId="1036" r:id="rId10" name="Button 12">
              <controlPr defaultSize="0" print="0" autoFill="0" autoPict="0" macro="[0]!HeroismDeactivate">
                <anchor moveWithCells="1" sizeWithCells="1">
                  <from>
                    <xdr:col>23</xdr:col>
                    <xdr:colOff>0</xdr:colOff>
                    <xdr:row>13</xdr:row>
                    <xdr:rowOff>180975</xdr:rowOff>
                  </from>
                  <to>
                    <xdr:col>25</xdr:col>
                    <xdr:colOff>0</xdr:colOff>
                    <xdr:row>16</xdr:row>
                    <xdr:rowOff>9525</xdr:rowOff>
                  </to>
                </anchor>
              </controlPr>
            </control>
          </mc:Choice>
        </mc:AlternateContent>
        <mc:AlternateContent xmlns:mc="http://schemas.openxmlformats.org/markup-compatibility/2006">
          <mc:Choice Requires="x14">
            <control shapeId="1037" r:id="rId11" name="Button 13">
              <controlPr defaultSize="0" print="0" autoFill="0" autoPict="0" macro="[0]!rest">
                <anchor moveWithCells="1" sizeWithCells="1">
                  <from>
                    <xdr:col>1</xdr:col>
                    <xdr:colOff>0</xdr:colOff>
                    <xdr:row>16</xdr:row>
                    <xdr:rowOff>0</xdr:rowOff>
                  </from>
                  <to>
                    <xdr:col>3</xdr:col>
                    <xdr:colOff>0</xdr:colOff>
                    <xdr:row>17</xdr:row>
                    <xdr:rowOff>9525</xdr:rowOff>
                  </to>
                </anchor>
              </controlPr>
            </control>
          </mc:Choice>
        </mc:AlternateContent>
        <mc:AlternateContent xmlns:mc="http://schemas.openxmlformats.org/markup-compatibility/2006">
          <mc:Choice Requires="x14">
            <control shapeId="1038" r:id="rId12" name="Button 14">
              <controlPr defaultSize="0" print="0" autoFill="0" autoPict="0" macro="[0]!blind">
                <anchor moveWithCells="1" sizeWithCells="1">
                  <from>
                    <xdr:col>22</xdr:col>
                    <xdr:colOff>9525</xdr:colOff>
                    <xdr:row>27</xdr:row>
                    <xdr:rowOff>9525</xdr:rowOff>
                  </from>
                  <to>
                    <xdr:col>22</xdr:col>
                    <xdr:colOff>600075</xdr:colOff>
                    <xdr:row>28</xdr:row>
                    <xdr:rowOff>0</xdr:rowOff>
                  </to>
                </anchor>
              </controlPr>
            </control>
          </mc:Choice>
        </mc:AlternateContent>
        <mc:AlternateContent xmlns:mc="http://schemas.openxmlformats.org/markup-compatibility/2006">
          <mc:Choice Requires="x14">
            <control shapeId="1039" r:id="rId13" name="Button 15">
              <controlPr defaultSize="0" print="0" autoFill="0" autoPict="0" macro="[0]!blinddown">
                <anchor moveWithCells="1" sizeWithCells="1">
                  <from>
                    <xdr:col>22</xdr:col>
                    <xdr:colOff>9525</xdr:colOff>
                    <xdr:row>28</xdr:row>
                    <xdr:rowOff>9525</xdr:rowOff>
                  </from>
                  <to>
                    <xdr:col>22</xdr:col>
                    <xdr:colOff>600075</xdr:colOff>
                    <xdr:row>29</xdr:row>
                    <xdr:rowOff>0</xdr:rowOff>
                  </to>
                </anchor>
              </controlPr>
            </control>
          </mc:Choice>
        </mc:AlternateContent>
        <mc:AlternateContent xmlns:mc="http://schemas.openxmlformats.org/markup-compatibility/2006">
          <mc:Choice Requires="x14">
            <control shapeId="1040" r:id="rId14" name="Button 16">
              <controlPr defaultSize="0" print="0" autoFill="0" autoPict="0" macro="[0]!clumsy">
                <anchor moveWithCells="1" sizeWithCells="1">
                  <from>
                    <xdr:col>22</xdr:col>
                    <xdr:colOff>9525</xdr:colOff>
                    <xdr:row>29</xdr:row>
                    <xdr:rowOff>9525</xdr:rowOff>
                  </from>
                  <to>
                    <xdr:col>22</xdr:col>
                    <xdr:colOff>600075</xdr:colOff>
                    <xdr:row>30</xdr:row>
                    <xdr:rowOff>9525</xdr:rowOff>
                  </to>
                </anchor>
              </controlPr>
            </control>
          </mc:Choice>
        </mc:AlternateContent>
        <mc:AlternateContent xmlns:mc="http://schemas.openxmlformats.org/markup-compatibility/2006">
          <mc:Choice Requires="x14">
            <control shapeId="1041" r:id="rId15" name="Button 17">
              <controlPr defaultSize="0" print="0" autoFill="0" autoPict="0" macro="[0]!clumsydown">
                <anchor moveWithCells="1" sizeWithCells="1">
                  <from>
                    <xdr:col>22</xdr:col>
                    <xdr:colOff>9525</xdr:colOff>
                    <xdr:row>30</xdr:row>
                    <xdr:rowOff>9525</xdr:rowOff>
                  </from>
                  <to>
                    <xdr:col>22</xdr:col>
                    <xdr:colOff>600075</xdr:colOff>
                    <xdr:row>31</xdr:row>
                    <xdr:rowOff>9525</xdr:rowOff>
                  </to>
                </anchor>
              </controlPr>
            </control>
          </mc:Choice>
        </mc:AlternateContent>
        <mc:AlternateContent xmlns:mc="http://schemas.openxmlformats.org/markup-compatibility/2006">
          <mc:Choice Requires="x14">
            <control shapeId="1042" r:id="rId16" name="Button 18">
              <controlPr defaultSize="0" print="0" autoFill="0" autoPict="0" macro="[0]!flatfooted">
                <anchor moveWithCells="1" sizeWithCells="1">
                  <from>
                    <xdr:col>22</xdr:col>
                    <xdr:colOff>9525</xdr:colOff>
                    <xdr:row>45</xdr:row>
                    <xdr:rowOff>9525</xdr:rowOff>
                  </from>
                  <to>
                    <xdr:col>22</xdr:col>
                    <xdr:colOff>600075</xdr:colOff>
                    <xdr:row>46</xdr:row>
                    <xdr:rowOff>0</xdr:rowOff>
                  </to>
                </anchor>
              </controlPr>
            </control>
          </mc:Choice>
        </mc:AlternateContent>
        <mc:AlternateContent xmlns:mc="http://schemas.openxmlformats.org/markup-compatibility/2006">
          <mc:Choice Requires="x14">
            <control shapeId="1043" r:id="rId17" name="Button 19">
              <controlPr defaultSize="0" print="0" autoFill="0" autoPict="0" macro="[0]!drain">
                <anchor moveWithCells="1" sizeWithCells="1">
                  <from>
                    <xdr:col>22</xdr:col>
                    <xdr:colOff>9525</xdr:colOff>
                    <xdr:row>35</xdr:row>
                    <xdr:rowOff>9525</xdr:rowOff>
                  </from>
                  <to>
                    <xdr:col>22</xdr:col>
                    <xdr:colOff>600075</xdr:colOff>
                    <xdr:row>36</xdr:row>
                    <xdr:rowOff>0</xdr:rowOff>
                  </to>
                </anchor>
              </controlPr>
            </control>
          </mc:Choice>
        </mc:AlternateContent>
        <mc:AlternateContent xmlns:mc="http://schemas.openxmlformats.org/markup-compatibility/2006">
          <mc:Choice Requires="x14">
            <control shapeId="1044" r:id="rId18" name="Button 20">
              <controlPr defaultSize="0" print="0" autoFill="0" autoPict="0" macro="[0]!deafdown">
                <anchor moveWithCells="1" sizeWithCells="1">
                  <from>
                    <xdr:col>22</xdr:col>
                    <xdr:colOff>9525</xdr:colOff>
                    <xdr:row>34</xdr:row>
                    <xdr:rowOff>9525</xdr:rowOff>
                  </from>
                  <to>
                    <xdr:col>22</xdr:col>
                    <xdr:colOff>600075</xdr:colOff>
                    <xdr:row>35</xdr:row>
                    <xdr:rowOff>0</xdr:rowOff>
                  </to>
                </anchor>
              </controlPr>
            </control>
          </mc:Choice>
        </mc:AlternateContent>
        <mc:AlternateContent xmlns:mc="http://schemas.openxmlformats.org/markup-compatibility/2006">
          <mc:Choice Requires="x14">
            <control shapeId="1045" r:id="rId19" name="Button 21">
              <controlPr defaultSize="0" print="0" autoFill="0" autoPict="0" macro="[0]!deaf">
                <anchor moveWithCells="1" sizeWithCells="1">
                  <from>
                    <xdr:col>22</xdr:col>
                    <xdr:colOff>9525</xdr:colOff>
                    <xdr:row>33</xdr:row>
                    <xdr:rowOff>9525</xdr:rowOff>
                  </from>
                  <to>
                    <xdr:col>22</xdr:col>
                    <xdr:colOff>600075</xdr:colOff>
                    <xdr:row>34</xdr:row>
                    <xdr:rowOff>0</xdr:rowOff>
                  </to>
                </anchor>
              </controlPr>
            </control>
          </mc:Choice>
        </mc:AlternateContent>
        <mc:AlternateContent xmlns:mc="http://schemas.openxmlformats.org/markup-compatibility/2006">
          <mc:Choice Requires="x14">
            <control shapeId="1046" r:id="rId20" name="Button 22">
              <controlPr defaultSize="0" print="0" autoFill="0" autoPict="0" macro="[0]!dazzleddown">
                <anchor moveWithCells="1" sizeWithCells="1">
                  <from>
                    <xdr:col>22</xdr:col>
                    <xdr:colOff>9525</xdr:colOff>
                    <xdr:row>32</xdr:row>
                    <xdr:rowOff>28575</xdr:rowOff>
                  </from>
                  <to>
                    <xdr:col>22</xdr:col>
                    <xdr:colOff>600075</xdr:colOff>
                    <xdr:row>33</xdr:row>
                    <xdr:rowOff>0</xdr:rowOff>
                  </to>
                </anchor>
              </controlPr>
            </control>
          </mc:Choice>
        </mc:AlternateContent>
        <mc:AlternateContent xmlns:mc="http://schemas.openxmlformats.org/markup-compatibility/2006">
          <mc:Choice Requires="x14">
            <control shapeId="1047" r:id="rId21" name="Button 23">
              <controlPr defaultSize="0" print="0" autoFill="0" autoPict="0" macro="[0]!dazzled">
                <anchor moveWithCells="1" sizeWithCells="1">
                  <from>
                    <xdr:col>22</xdr:col>
                    <xdr:colOff>9525</xdr:colOff>
                    <xdr:row>31</xdr:row>
                    <xdr:rowOff>9525</xdr:rowOff>
                  </from>
                  <to>
                    <xdr:col>22</xdr:col>
                    <xdr:colOff>600075</xdr:colOff>
                    <xdr:row>32</xdr:row>
                    <xdr:rowOff>9525</xdr:rowOff>
                  </to>
                </anchor>
              </controlPr>
            </control>
          </mc:Choice>
        </mc:AlternateContent>
        <mc:AlternateContent xmlns:mc="http://schemas.openxmlformats.org/markup-compatibility/2006">
          <mc:Choice Requires="x14">
            <control shapeId="1048" r:id="rId22" name="Button 24">
              <controlPr defaultSize="0" print="0" autoFill="0" autoPict="0" macro="[0]!draindown">
                <anchor moveWithCells="1" sizeWithCells="1">
                  <from>
                    <xdr:col>22</xdr:col>
                    <xdr:colOff>9525</xdr:colOff>
                    <xdr:row>36</xdr:row>
                    <xdr:rowOff>9525</xdr:rowOff>
                  </from>
                  <to>
                    <xdr:col>22</xdr:col>
                    <xdr:colOff>600075</xdr:colOff>
                    <xdr:row>37</xdr:row>
                    <xdr:rowOff>0</xdr:rowOff>
                  </to>
                </anchor>
              </controlPr>
            </control>
          </mc:Choice>
        </mc:AlternateContent>
        <mc:AlternateContent xmlns:mc="http://schemas.openxmlformats.org/markup-compatibility/2006">
          <mc:Choice Requires="x14">
            <control shapeId="1049" r:id="rId23" name="Button 25">
              <controlPr defaultSize="0" print="0" autoFill="0" autoPict="0" macro="[0]!fatigue">
                <anchor moveWithCells="1" sizeWithCells="1">
                  <from>
                    <xdr:col>22</xdr:col>
                    <xdr:colOff>9525</xdr:colOff>
                    <xdr:row>37</xdr:row>
                    <xdr:rowOff>9525</xdr:rowOff>
                  </from>
                  <to>
                    <xdr:col>22</xdr:col>
                    <xdr:colOff>600075</xdr:colOff>
                    <xdr:row>38</xdr:row>
                    <xdr:rowOff>0</xdr:rowOff>
                  </to>
                </anchor>
              </controlPr>
            </control>
          </mc:Choice>
        </mc:AlternateContent>
        <mc:AlternateContent xmlns:mc="http://schemas.openxmlformats.org/markup-compatibility/2006">
          <mc:Choice Requires="x14">
            <control shapeId="1050" r:id="rId24" name="Button 26">
              <controlPr defaultSize="0" print="0" autoFill="0" autoPict="0" macro="[0]!fatiguedown">
                <anchor moveWithCells="1" sizeWithCells="1">
                  <from>
                    <xdr:col>22</xdr:col>
                    <xdr:colOff>9525</xdr:colOff>
                    <xdr:row>38</xdr:row>
                    <xdr:rowOff>9525</xdr:rowOff>
                  </from>
                  <to>
                    <xdr:col>22</xdr:col>
                    <xdr:colOff>600075</xdr:colOff>
                    <xdr:row>39</xdr:row>
                    <xdr:rowOff>9525</xdr:rowOff>
                  </to>
                </anchor>
              </controlPr>
            </control>
          </mc:Choice>
        </mc:AlternateContent>
        <mc:AlternateContent xmlns:mc="http://schemas.openxmlformats.org/markup-compatibility/2006">
          <mc:Choice Requires="x14">
            <control shapeId="1051" r:id="rId25" name="Button 27">
              <controlPr defaultSize="0" print="0" autoFill="0" autoPict="0" macro="[0]!frightened">
                <anchor moveWithCells="1" sizeWithCells="1">
                  <from>
                    <xdr:col>22</xdr:col>
                    <xdr:colOff>9525</xdr:colOff>
                    <xdr:row>39</xdr:row>
                    <xdr:rowOff>9525</xdr:rowOff>
                  </from>
                  <to>
                    <xdr:col>22</xdr:col>
                    <xdr:colOff>600075</xdr:colOff>
                    <xdr:row>40</xdr:row>
                    <xdr:rowOff>9525</xdr:rowOff>
                  </to>
                </anchor>
              </controlPr>
            </control>
          </mc:Choice>
        </mc:AlternateContent>
        <mc:AlternateContent xmlns:mc="http://schemas.openxmlformats.org/markup-compatibility/2006">
          <mc:Choice Requires="x14">
            <control shapeId="1052" r:id="rId26" name="Button 28">
              <controlPr defaultSize="0" print="0" autoFill="0" autoPict="0" macro="[0]!frighteneddown">
                <anchor moveWithCells="1" sizeWithCells="1">
                  <from>
                    <xdr:col>22</xdr:col>
                    <xdr:colOff>9525</xdr:colOff>
                    <xdr:row>40</xdr:row>
                    <xdr:rowOff>9525</xdr:rowOff>
                  </from>
                  <to>
                    <xdr:col>22</xdr:col>
                    <xdr:colOff>600075</xdr:colOff>
                    <xdr:row>41</xdr:row>
                    <xdr:rowOff>9525</xdr:rowOff>
                  </to>
                </anchor>
              </controlPr>
            </control>
          </mc:Choice>
        </mc:AlternateContent>
        <mc:AlternateContent xmlns:mc="http://schemas.openxmlformats.org/markup-compatibility/2006">
          <mc:Choice Requires="x14">
            <control shapeId="1053" r:id="rId27" name="Button 29">
              <controlPr defaultSize="0" print="0" autoFill="0" autoPict="0" macro="[0]!enfeeble">
                <anchor moveWithCells="1" sizeWithCells="1">
                  <from>
                    <xdr:col>22</xdr:col>
                    <xdr:colOff>9525</xdr:colOff>
                    <xdr:row>41</xdr:row>
                    <xdr:rowOff>9525</xdr:rowOff>
                  </from>
                  <to>
                    <xdr:col>22</xdr:col>
                    <xdr:colOff>600075</xdr:colOff>
                    <xdr:row>42</xdr:row>
                    <xdr:rowOff>9525</xdr:rowOff>
                  </to>
                </anchor>
              </controlPr>
            </control>
          </mc:Choice>
        </mc:AlternateContent>
        <mc:AlternateContent xmlns:mc="http://schemas.openxmlformats.org/markup-compatibility/2006">
          <mc:Choice Requires="x14">
            <control shapeId="1054" r:id="rId28" name="Button 30">
              <controlPr defaultSize="0" print="0" autoFill="0" autoPict="0" macro="[0]!enfeebledown">
                <anchor moveWithCells="1" sizeWithCells="1">
                  <from>
                    <xdr:col>22</xdr:col>
                    <xdr:colOff>9525</xdr:colOff>
                    <xdr:row>42</xdr:row>
                    <xdr:rowOff>9525</xdr:rowOff>
                  </from>
                  <to>
                    <xdr:col>22</xdr:col>
                    <xdr:colOff>600075</xdr:colOff>
                    <xdr:row>43</xdr:row>
                    <xdr:rowOff>9525</xdr:rowOff>
                  </to>
                </anchor>
              </controlPr>
            </control>
          </mc:Choice>
        </mc:AlternateContent>
        <mc:AlternateContent xmlns:mc="http://schemas.openxmlformats.org/markup-compatibility/2006">
          <mc:Choice Requires="x14">
            <control shapeId="1055" r:id="rId29" name="Button 31">
              <controlPr defaultSize="0" print="0" autoFill="0" autoPict="0" macro="[0]!prone">
                <anchor moveWithCells="1" sizeWithCells="1">
                  <from>
                    <xdr:col>22</xdr:col>
                    <xdr:colOff>9525</xdr:colOff>
                    <xdr:row>43</xdr:row>
                    <xdr:rowOff>9525</xdr:rowOff>
                  </from>
                  <to>
                    <xdr:col>22</xdr:col>
                    <xdr:colOff>600075</xdr:colOff>
                    <xdr:row>44</xdr:row>
                    <xdr:rowOff>9525</xdr:rowOff>
                  </to>
                </anchor>
              </controlPr>
            </control>
          </mc:Choice>
        </mc:AlternateContent>
        <mc:AlternateContent xmlns:mc="http://schemas.openxmlformats.org/markup-compatibility/2006">
          <mc:Choice Requires="x14">
            <control shapeId="1056" r:id="rId30" name="Button 32">
              <controlPr defaultSize="0" print="0" autoFill="0" autoPict="0" macro="[0]!pronedown">
                <anchor moveWithCells="1" sizeWithCells="1">
                  <from>
                    <xdr:col>22</xdr:col>
                    <xdr:colOff>9525</xdr:colOff>
                    <xdr:row>44</xdr:row>
                    <xdr:rowOff>9525</xdr:rowOff>
                  </from>
                  <to>
                    <xdr:col>22</xdr:col>
                    <xdr:colOff>600075</xdr:colOff>
                    <xdr:row>45</xdr:row>
                    <xdr:rowOff>9525</xdr:rowOff>
                  </to>
                </anchor>
              </controlPr>
            </control>
          </mc:Choice>
        </mc:AlternateContent>
        <mc:AlternateContent xmlns:mc="http://schemas.openxmlformats.org/markup-compatibility/2006">
          <mc:Choice Requires="x14">
            <control shapeId="1057" r:id="rId31" name="Button 33">
              <controlPr defaultSize="0" print="0" autoFill="0" autoPict="0" macro="[0]!flatfooteddown">
                <anchor moveWithCells="1" sizeWithCells="1">
                  <from>
                    <xdr:col>22</xdr:col>
                    <xdr:colOff>9525</xdr:colOff>
                    <xdr:row>46</xdr:row>
                    <xdr:rowOff>9525</xdr:rowOff>
                  </from>
                  <to>
                    <xdr:col>22</xdr:col>
                    <xdr:colOff>600075</xdr:colOff>
                    <xdr:row>47</xdr:row>
                    <xdr:rowOff>0</xdr:rowOff>
                  </to>
                </anchor>
              </controlPr>
            </control>
          </mc:Choice>
        </mc:AlternateContent>
        <mc:AlternateContent xmlns:mc="http://schemas.openxmlformats.org/markup-compatibility/2006">
          <mc:Choice Requires="x14">
            <control shapeId="1058" r:id="rId32" name="Button 34">
              <controlPr defaultSize="0" print="0" autoFill="0" autoPict="0" macro="[0]!stupid">
                <anchor moveWithCells="1" sizeWithCells="1">
                  <from>
                    <xdr:col>22</xdr:col>
                    <xdr:colOff>9525</xdr:colOff>
                    <xdr:row>47</xdr:row>
                    <xdr:rowOff>9525</xdr:rowOff>
                  </from>
                  <to>
                    <xdr:col>22</xdr:col>
                    <xdr:colOff>600075</xdr:colOff>
                    <xdr:row>48</xdr:row>
                    <xdr:rowOff>0</xdr:rowOff>
                  </to>
                </anchor>
              </controlPr>
            </control>
          </mc:Choice>
        </mc:AlternateContent>
        <mc:AlternateContent xmlns:mc="http://schemas.openxmlformats.org/markup-compatibility/2006">
          <mc:Choice Requires="x14">
            <control shapeId="1059" r:id="rId33" name="Button 35">
              <controlPr defaultSize="0" print="0" autoFill="0" autoPict="0" macro="[0]!stupiddown">
                <anchor moveWithCells="1" sizeWithCells="1">
                  <from>
                    <xdr:col>22</xdr:col>
                    <xdr:colOff>9525</xdr:colOff>
                    <xdr:row>48</xdr:row>
                    <xdr:rowOff>9525</xdr:rowOff>
                  </from>
                  <to>
                    <xdr:col>22</xdr:col>
                    <xdr:colOff>600075</xdr:colOff>
                    <xdr:row>49</xdr:row>
                    <xdr:rowOff>0</xdr:rowOff>
                  </to>
                </anchor>
              </controlPr>
            </control>
          </mc:Choice>
        </mc:AlternateContent>
        <mc:AlternateContent xmlns:mc="http://schemas.openxmlformats.org/markup-compatibility/2006">
          <mc:Choice Requires="x14">
            <control shapeId="1061" r:id="rId34" name="Button 37">
              <controlPr defaultSize="0" print="0" autoFill="0" autoPict="0" macro="[0]!DamageHeal">
                <anchor moveWithCells="1" sizeWithCells="1">
                  <from>
                    <xdr:col>1</xdr:col>
                    <xdr:colOff>0</xdr:colOff>
                    <xdr:row>19</xdr:row>
                    <xdr:rowOff>0</xdr:rowOff>
                  </from>
                  <to>
                    <xdr:col>3</xdr:col>
                    <xdr:colOff>0</xdr:colOff>
                    <xdr:row>21</xdr:row>
                    <xdr:rowOff>0</xdr:rowOff>
                  </to>
                </anchor>
              </controlPr>
            </control>
          </mc:Choice>
        </mc:AlternateContent>
        <mc:AlternateContent xmlns:mc="http://schemas.openxmlformats.org/markup-compatibility/2006">
          <mc:Choice Requires="x14">
            <control shapeId="1062" r:id="rId35" name="Button 38">
              <controlPr defaultSize="0" print="0" autoFill="0" autoPict="0" macro="[0]!Attack">
                <anchor moveWithCells="1" sizeWithCells="1">
                  <from>
                    <xdr:col>1</xdr:col>
                    <xdr:colOff>0</xdr:colOff>
                    <xdr:row>22</xdr:row>
                    <xdr:rowOff>209550</xdr:rowOff>
                  </from>
                  <to>
                    <xdr:col>3</xdr:col>
                    <xdr:colOff>9525</xdr:colOff>
                    <xdr:row>25</xdr:row>
                    <xdr:rowOff>9525</xdr:rowOff>
                  </to>
                </anchor>
              </controlPr>
            </control>
          </mc:Choice>
        </mc:AlternateContent>
        <mc:AlternateContent xmlns:mc="http://schemas.openxmlformats.org/markup-compatibility/2006">
          <mc:Choice Requires="x14">
            <control shapeId="1063" r:id="rId36" name="Button 39">
              <controlPr defaultSize="0" print="0" autoFill="0" autoPict="0" macro="[0]!Telluric">
                <anchor moveWithCells="1" sizeWithCells="1">
                  <from>
                    <xdr:col>22</xdr:col>
                    <xdr:colOff>9525</xdr:colOff>
                    <xdr:row>59</xdr:row>
                    <xdr:rowOff>9525</xdr:rowOff>
                  </from>
                  <to>
                    <xdr:col>23</xdr:col>
                    <xdr:colOff>0</xdr:colOff>
                    <xdr:row>60</xdr:row>
                    <xdr:rowOff>9525</xdr:rowOff>
                  </to>
                </anchor>
              </controlPr>
            </control>
          </mc:Choice>
        </mc:AlternateContent>
        <mc:AlternateContent xmlns:mc="http://schemas.openxmlformats.org/markup-compatibility/2006">
          <mc:Choice Requires="x14">
            <control shapeId="1064" r:id="rId37" name="Button 40">
              <controlPr defaultSize="0" print="0" autoFill="0" autoPict="0" macro="[0]!Telluricdown">
                <anchor moveWithCells="1" sizeWithCells="1">
                  <from>
                    <xdr:col>22</xdr:col>
                    <xdr:colOff>9525</xdr:colOff>
                    <xdr:row>60</xdr:row>
                    <xdr:rowOff>9525</xdr:rowOff>
                  </from>
                  <to>
                    <xdr:col>23</xdr:col>
                    <xdr:colOff>0</xdr:colOff>
                    <xdr:row>61</xdr:row>
                    <xdr:rowOff>0</xdr:rowOff>
                  </to>
                </anchor>
              </controlPr>
            </control>
          </mc:Choice>
        </mc:AlternateContent>
        <mc:AlternateContent xmlns:mc="http://schemas.openxmlformats.org/markup-compatibility/2006">
          <mc:Choice Requires="x14">
            <control shapeId="1065" r:id="rId38" name="Button 41">
              <controlPr defaultSize="0" print="0" autoFill="0" autoPict="0" macro="[0]!Juggernaut">
                <anchor moveWithCells="1" sizeWithCells="1">
                  <from>
                    <xdr:col>20</xdr:col>
                    <xdr:colOff>0</xdr:colOff>
                    <xdr:row>17</xdr:row>
                    <xdr:rowOff>0</xdr:rowOff>
                  </from>
                  <to>
                    <xdr:col>22</xdr:col>
                    <xdr:colOff>0</xdr:colOff>
                    <xdr:row>19</xdr:row>
                    <xdr:rowOff>0</xdr:rowOff>
                  </to>
                </anchor>
              </controlPr>
            </control>
          </mc:Choice>
        </mc:AlternateContent>
        <mc:AlternateContent xmlns:mc="http://schemas.openxmlformats.org/markup-compatibility/2006">
          <mc:Choice Requires="x14">
            <control shapeId="1066" r:id="rId39" name="Button 42">
              <controlPr defaultSize="0" print="0" autoFill="0" autoPict="0" macro="[0]!JuggernautDeactivate">
                <anchor moveWithCells="1" sizeWithCells="1">
                  <from>
                    <xdr:col>23</xdr:col>
                    <xdr:colOff>0</xdr:colOff>
                    <xdr:row>16</xdr:row>
                    <xdr:rowOff>390525</xdr:rowOff>
                  </from>
                  <to>
                    <xdr:col>25</xdr:col>
                    <xdr:colOff>0</xdr:colOff>
                    <xdr:row>19</xdr:row>
                    <xdr:rowOff>0</xdr:rowOff>
                  </to>
                </anchor>
              </controlPr>
            </control>
          </mc:Choice>
        </mc:AlternateContent>
        <mc:AlternateContent xmlns:mc="http://schemas.openxmlformats.org/markup-compatibility/2006">
          <mc:Choice Requires="x14">
            <control shapeId="1067" r:id="rId40" name="Button 43">
              <controlPr defaultSize="0" print="0" autoFill="0" autoPict="0" macro="[0]!ApplyPoison">
                <anchor moveWithCells="1" sizeWithCells="1">
                  <from>
                    <xdr:col>1</xdr:col>
                    <xdr:colOff>0</xdr:colOff>
                    <xdr:row>26</xdr:row>
                    <xdr:rowOff>0</xdr:rowOff>
                  </from>
                  <to>
                    <xdr:col>3</xdr:col>
                    <xdr:colOff>0</xdr:colOff>
                    <xdr:row>28</xdr:row>
                    <xdr:rowOff>0</xdr:rowOff>
                  </to>
                </anchor>
              </controlPr>
            </control>
          </mc:Choice>
        </mc:AlternateContent>
        <mc:AlternateContent xmlns:mc="http://schemas.openxmlformats.org/markup-compatibility/2006">
          <mc:Choice Requires="x14">
            <control shapeId="1068" r:id="rId41" name="Button 44">
              <controlPr defaultSize="0" print="0" autoFill="0" autoPict="0" macro="[0]!MoneyGold">
                <anchor moveWithCells="1" sizeWithCells="1">
                  <from>
                    <xdr:col>0</xdr:col>
                    <xdr:colOff>9525</xdr:colOff>
                    <xdr:row>101</xdr:row>
                    <xdr:rowOff>9525</xdr:rowOff>
                  </from>
                  <to>
                    <xdr:col>1</xdr:col>
                    <xdr:colOff>0</xdr:colOff>
                    <xdr:row>102</xdr:row>
                    <xdr:rowOff>9525</xdr:rowOff>
                  </to>
                </anchor>
              </controlPr>
            </control>
          </mc:Choice>
        </mc:AlternateContent>
        <mc:AlternateContent xmlns:mc="http://schemas.openxmlformats.org/markup-compatibility/2006">
          <mc:Choice Requires="x14">
            <control shapeId="1069" r:id="rId42" name="Button 45">
              <controlPr defaultSize="0" print="0" autoFill="0" autoPict="0" macro="[0]!MoneyPlatinum">
                <anchor moveWithCells="1" sizeWithCells="1">
                  <from>
                    <xdr:col>0</xdr:col>
                    <xdr:colOff>9525</xdr:colOff>
                    <xdr:row>102</xdr:row>
                    <xdr:rowOff>9525</xdr:rowOff>
                  </from>
                  <to>
                    <xdr:col>1</xdr:col>
                    <xdr:colOff>0</xdr:colOff>
                    <xdr:row>103</xdr:row>
                    <xdr:rowOff>0</xdr:rowOff>
                  </to>
                </anchor>
              </controlPr>
            </control>
          </mc:Choice>
        </mc:AlternateContent>
        <mc:AlternateContent xmlns:mc="http://schemas.openxmlformats.org/markup-compatibility/2006">
          <mc:Choice Requires="x14">
            <control shapeId="1070" r:id="rId43" name="Button 46">
              <controlPr defaultSize="0" print="0" autoFill="0" autoPict="0" macro="[0]!Quicksilver">
                <anchor moveWithCells="1" sizeWithCells="1">
                  <from>
                    <xdr:col>20</xdr:col>
                    <xdr:colOff>0</xdr:colOff>
                    <xdr:row>10</xdr:row>
                    <xdr:rowOff>180975</xdr:rowOff>
                  </from>
                  <to>
                    <xdr:col>22</xdr:col>
                    <xdr:colOff>9525</xdr:colOff>
                    <xdr:row>12</xdr:row>
                    <xdr:rowOff>19050</xdr:rowOff>
                  </to>
                </anchor>
              </controlPr>
            </control>
          </mc:Choice>
        </mc:AlternateContent>
        <mc:AlternateContent xmlns:mc="http://schemas.openxmlformats.org/markup-compatibility/2006">
          <mc:Choice Requires="x14">
            <control shapeId="1071" r:id="rId44" name="Button 47">
              <controlPr defaultSize="0" print="0" autoFill="0" autoPict="0" macro="[0]!QuicksilverDeactivate">
                <anchor moveWithCells="1" sizeWithCells="1">
                  <from>
                    <xdr:col>22</xdr:col>
                    <xdr:colOff>600075</xdr:colOff>
                    <xdr:row>11</xdr:row>
                    <xdr:rowOff>0</xdr:rowOff>
                  </from>
                  <to>
                    <xdr:col>25</xdr:col>
                    <xdr:colOff>9525</xdr:colOff>
                    <xdr:row>12</xdr:row>
                    <xdr:rowOff>28575</xdr:rowOff>
                  </to>
                </anchor>
              </controlPr>
            </control>
          </mc:Choice>
        </mc:AlternateContent>
        <mc:AlternateContent xmlns:mc="http://schemas.openxmlformats.org/markup-compatibility/2006">
          <mc:Choice Requires="x14">
            <control shapeId="1074" r:id="rId45" name="Button 50">
              <controlPr defaultSize="0" print="0" autoFill="0" autoPict="0" macro="[0]!sickened">
                <anchor moveWithCells="1" sizeWithCells="1">
                  <from>
                    <xdr:col>22</xdr:col>
                    <xdr:colOff>9525</xdr:colOff>
                    <xdr:row>65</xdr:row>
                    <xdr:rowOff>9525</xdr:rowOff>
                  </from>
                  <to>
                    <xdr:col>22</xdr:col>
                    <xdr:colOff>600075</xdr:colOff>
                    <xdr:row>66</xdr:row>
                    <xdr:rowOff>0</xdr:rowOff>
                  </to>
                </anchor>
              </controlPr>
            </control>
          </mc:Choice>
        </mc:AlternateContent>
        <mc:AlternateContent xmlns:mc="http://schemas.openxmlformats.org/markup-compatibility/2006">
          <mc:Choice Requires="x14">
            <control shapeId="1075" r:id="rId46" name="Button 51">
              <controlPr defaultSize="0" print="0" autoFill="0" autoPict="0" macro="[0]!sickeneddown">
                <anchor moveWithCells="1" sizeWithCells="1">
                  <from>
                    <xdr:col>22</xdr:col>
                    <xdr:colOff>9525</xdr:colOff>
                    <xdr:row>66</xdr:row>
                    <xdr:rowOff>9525</xdr:rowOff>
                  </from>
                  <to>
                    <xdr:col>22</xdr:col>
                    <xdr:colOff>600075</xdr:colOff>
                    <xdr:row>67</xdr:row>
                    <xdr:rowOff>0</xdr:rowOff>
                  </to>
                </anchor>
              </controlPr>
            </control>
          </mc:Choice>
        </mc:AlternateContent>
        <mc:AlternateContent xmlns:mc="http://schemas.openxmlformats.org/markup-compatibility/2006">
          <mc:Choice Requires="x14">
            <control shapeId="1076" r:id="rId47" name="Button 52">
              <controlPr defaultSize="0" print="0" autoFill="0" autoPict="0" macro="[0]!TakeCover">
                <anchor moveWithCells="1" sizeWithCells="1">
                  <from>
                    <xdr:col>22</xdr:col>
                    <xdr:colOff>9525</xdr:colOff>
                    <xdr:row>67</xdr:row>
                    <xdr:rowOff>9525</xdr:rowOff>
                  </from>
                  <to>
                    <xdr:col>22</xdr:col>
                    <xdr:colOff>600075</xdr:colOff>
                    <xdr:row>68</xdr:row>
                    <xdr:rowOff>0</xdr:rowOff>
                  </to>
                </anchor>
              </controlPr>
            </control>
          </mc:Choice>
        </mc:AlternateContent>
        <mc:AlternateContent xmlns:mc="http://schemas.openxmlformats.org/markup-compatibility/2006">
          <mc:Choice Requires="x14">
            <control shapeId="1077" r:id="rId48" name="Button 53">
              <controlPr defaultSize="0" print="0" autoFill="0" autoPict="0" macro="[0]!TakeCoverOff">
                <anchor moveWithCells="1" sizeWithCells="1">
                  <from>
                    <xdr:col>22</xdr:col>
                    <xdr:colOff>9525</xdr:colOff>
                    <xdr:row>68</xdr:row>
                    <xdr:rowOff>9525</xdr:rowOff>
                  </from>
                  <to>
                    <xdr:col>22</xdr:col>
                    <xdr:colOff>600075</xdr:colOff>
                    <xdr:row>69</xdr:row>
                    <xdr:rowOff>0</xdr:rowOff>
                  </to>
                </anchor>
              </controlPr>
            </control>
          </mc:Choice>
        </mc:AlternateContent>
        <mc:AlternateContent xmlns:mc="http://schemas.openxmlformats.org/markup-compatibility/2006">
          <mc:Choice Requires="x14">
            <control shapeId="1078" r:id="rId49" name="Button 54">
              <controlPr defaultSize="0" print="0" autoFill="0" autoPict="0" macro="[0]!FeetUp">
                <anchor moveWithCells="1" sizeWithCells="1">
                  <from>
                    <xdr:col>8</xdr:col>
                    <xdr:colOff>9525</xdr:colOff>
                    <xdr:row>22</xdr:row>
                    <xdr:rowOff>9525</xdr:rowOff>
                  </from>
                  <to>
                    <xdr:col>9</xdr:col>
                    <xdr:colOff>0</xdr:colOff>
                    <xdr:row>22</xdr:row>
                    <xdr:rowOff>114300</xdr:rowOff>
                  </to>
                </anchor>
              </controlPr>
            </control>
          </mc:Choice>
        </mc:AlternateContent>
        <mc:AlternateContent xmlns:mc="http://schemas.openxmlformats.org/markup-compatibility/2006">
          <mc:Choice Requires="x14">
            <control shapeId="1081" r:id="rId50" name="Button 57">
              <controlPr defaultSize="0" print="0" autoFill="0" autoPict="0" macro="[0]!Feetdown">
                <anchor moveWithCells="1" sizeWithCells="1">
                  <from>
                    <xdr:col>8</xdr:col>
                    <xdr:colOff>9525</xdr:colOff>
                    <xdr:row>22</xdr:row>
                    <xdr:rowOff>123825</xdr:rowOff>
                  </from>
                  <to>
                    <xdr:col>9</xdr:col>
                    <xdr:colOff>0</xdr:colOff>
                    <xdr:row>23</xdr:row>
                    <xdr:rowOff>0</xdr:rowOff>
                  </to>
                </anchor>
              </controlPr>
            </control>
          </mc:Choice>
        </mc:AlternateContent>
        <mc:AlternateContent xmlns:mc="http://schemas.openxmlformats.org/markup-compatibility/2006">
          <mc:Choice Requires="x14">
            <control shapeId="1082" r:id="rId51" name="Button 58">
              <controlPr defaultSize="0" print="0" autoFill="0" autoPict="0" macro="[0]!Cognitive">
                <anchor moveWithCells="1" sizeWithCells="1">
                  <from>
                    <xdr:col>20</xdr:col>
                    <xdr:colOff>0</xdr:colOff>
                    <xdr:row>20</xdr:row>
                    <xdr:rowOff>190500</xdr:rowOff>
                  </from>
                  <to>
                    <xdr:col>22</xdr:col>
                    <xdr:colOff>0</xdr:colOff>
                    <xdr:row>22</xdr:row>
                    <xdr:rowOff>219075</xdr:rowOff>
                  </to>
                </anchor>
              </controlPr>
            </control>
          </mc:Choice>
        </mc:AlternateContent>
        <mc:AlternateContent xmlns:mc="http://schemas.openxmlformats.org/markup-compatibility/2006">
          <mc:Choice Requires="x14">
            <control shapeId="1083" r:id="rId52" name="Button 59">
              <controlPr defaultSize="0" print="0" autoFill="0" autoPict="0" macro="[0]!CognitiveDeactivate">
                <anchor moveWithCells="1" sizeWithCells="1">
                  <from>
                    <xdr:col>22</xdr:col>
                    <xdr:colOff>590550</xdr:colOff>
                    <xdr:row>20</xdr:row>
                    <xdr:rowOff>190500</xdr:rowOff>
                  </from>
                  <to>
                    <xdr:col>25</xdr:col>
                    <xdr:colOff>9525</xdr:colOff>
                    <xdr:row>22</xdr:row>
                    <xdr:rowOff>219075</xdr:rowOff>
                  </to>
                </anchor>
              </controlPr>
            </control>
          </mc:Choice>
        </mc:AlternateContent>
        <mc:AlternateContent xmlns:mc="http://schemas.openxmlformats.org/markup-compatibility/2006">
          <mc:Choice Requires="x14">
            <control shapeId="1084" r:id="rId53" name="Button 60">
              <controlPr defaultSize="0" print="0" autoFill="0" autoPict="0" macro="[0]!unconscious">
                <anchor moveWithCells="1" sizeWithCells="1">
                  <from>
                    <xdr:col>22</xdr:col>
                    <xdr:colOff>9525</xdr:colOff>
                    <xdr:row>71</xdr:row>
                    <xdr:rowOff>9525</xdr:rowOff>
                  </from>
                  <to>
                    <xdr:col>22</xdr:col>
                    <xdr:colOff>600075</xdr:colOff>
                    <xdr:row>72</xdr:row>
                    <xdr:rowOff>0</xdr:rowOff>
                  </to>
                </anchor>
              </controlPr>
            </control>
          </mc:Choice>
        </mc:AlternateContent>
        <mc:AlternateContent xmlns:mc="http://schemas.openxmlformats.org/markup-compatibility/2006">
          <mc:Choice Requires="x14">
            <control shapeId="1085" r:id="rId54" name="Button 61">
              <controlPr defaultSize="0" print="0" autoFill="0" autoPict="0" macro="[0]!unconsciousoff">
                <anchor moveWithCells="1" sizeWithCells="1">
                  <from>
                    <xdr:col>22</xdr:col>
                    <xdr:colOff>9525</xdr:colOff>
                    <xdr:row>72</xdr:row>
                    <xdr:rowOff>9525</xdr:rowOff>
                  </from>
                  <to>
                    <xdr:col>22</xdr:col>
                    <xdr:colOff>600075</xdr:colOff>
                    <xdr:row>73</xdr:row>
                    <xdr:rowOff>0</xdr:rowOff>
                  </to>
                </anchor>
              </controlPr>
            </control>
          </mc:Choice>
        </mc:AlternateContent>
        <mc:AlternateContent xmlns:mc="http://schemas.openxmlformats.org/markup-compatibility/2006">
          <mc:Choice Requires="x14">
            <control shapeId="1086" r:id="rId55" name="Button 62">
              <controlPr defaultSize="0" print="0" autoFill="0" autoPict="0" macro="[0]!wounded">
                <anchor moveWithCells="1" sizeWithCells="1">
                  <from>
                    <xdr:col>22</xdr:col>
                    <xdr:colOff>9525</xdr:colOff>
                    <xdr:row>73</xdr:row>
                    <xdr:rowOff>9525</xdr:rowOff>
                  </from>
                  <to>
                    <xdr:col>22</xdr:col>
                    <xdr:colOff>600075</xdr:colOff>
                    <xdr:row>74</xdr:row>
                    <xdr:rowOff>0</xdr:rowOff>
                  </to>
                </anchor>
              </controlPr>
            </control>
          </mc:Choice>
        </mc:AlternateContent>
        <mc:AlternateContent xmlns:mc="http://schemas.openxmlformats.org/markup-compatibility/2006">
          <mc:Choice Requires="x14">
            <control shapeId="1087" r:id="rId56" name="Button 63">
              <controlPr defaultSize="0" print="0" autoFill="0" autoPict="0" macro="[0]!woundeddown">
                <anchor moveWithCells="1" sizeWithCells="1">
                  <from>
                    <xdr:col>22</xdr:col>
                    <xdr:colOff>9525</xdr:colOff>
                    <xdr:row>74</xdr:row>
                    <xdr:rowOff>9525</xdr:rowOff>
                  </from>
                  <to>
                    <xdr:col>22</xdr:col>
                    <xdr:colOff>600075</xdr:colOff>
                    <xdr:row>75</xdr:row>
                    <xdr:rowOff>0</xdr:rowOff>
                  </to>
                </anchor>
              </controlPr>
            </control>
          </mc:Choice>
        </mc:AlternateContent>
        <mc:AlternateContent xmlns:mc="http://schemas.openxmlformats.org/markup-compatibility/2006">
          <mc:Choice Requires="x14">
            <control shapeId="1088" r:id="rId57" name="Button 64">
              <controlPr defaultSize="0" print="0" autoFill="0" autoPict="0" macro="[0]!dying">
                <anchor moveWithCells="1" sizeWithCells="1">
                  <from>
                    <xdr:col>22</xdr:col>
                    <xdr:colOff>9525</xdr:colOff>
                    <xdr:row>75</xdr:row>
                    <xdr:rowOff>9525</xdr:rowOff>
                  </from>
                  <to>
                    <xdr:col>22</xdr:col>
                    <xdr:colOff>600075</xdr:colOff>
                    <xdr:row>76</xdr:row>
                    <xdr:rowOff>0</xdr:rowOff>
                  </to>
                </anchor>
              </controlPr>
            </control>
          </mc:Choice>
        </mc:AlternateContent>
        <mc:AlternateContent xmlns:mc="http://schemas.openxmlformats.org/markup-compatibility/2006">
          <mc:Choice Requires="x14">
            <control shapeId="1089" r:id="rId58" name="Button 65">
              <controlPr defaultSize="0" print="0" autoFill="0" autoPict="0" macro="[0]!dyingdown">
                <anchor moveWithCells="1" sizeWithCells="1">
                  <from>
                    <xdr:col>22</xdr:col>
                    <xdr:colOff>9525</xdr:colOff>
                    <xdr:row>76</xdr:row>
                    <xdr:rowOff>9525</xdr:rowOff>
                  </from>
                  <to>
                    <xdr:col>22</xdr:col>
                    <xdr:colOff>600075</xdr:colOff>
                    <xdr:row>77</xdr:row>
                    <xdr:rowOff>0</xdr:rowOff>
                  </to>
                </anchor>
              </controlPr>
            </control>
          </mc:Choice>
        </mc:AlternateContent>
        <mc:AlternateContent xmlns:mc="http://schemas.openxmlformats.org/markup-compatibility/2006">
          <mc:Choice Requires="x14">
            <control shapeId="1090" r:id="rId59" name="Button 66">
              <controlPr defaultSize="0" print="0" autoFill="0" autoPict="0" macro="[0]!doomed">
                <anchor moveWithCells="1" sizeWithCells="1">
                  <from>
                    <xdr:col>22</xdr:col>
                    <xdr:colOff>9525</xdr:colOff>
                    <xdr:row>77</xdr:row>
                    <xdr:rowOff>9525</xdr:rowOff>
                  </from>
                  <to>
                    <xdr:col>22</xdr:col>
                    <xdr:colOff>600075</xdr:colOff>
                    <xdr:row>78</xdr:row>
                    <xdr:rowOff>0</xdr:rowOff>
                  </to>
                </anchor>
              </controlPr>
            </control>
          </mc:Choice>
        </mc:AlternateContent>
        <mc:AlternateContent xmlns:mc="http://schemas.openxmlformats.org/markup-compatibility/2006">
          <mc:Choice Requires="x14">
            <control shapeId="1091" r:id="rId60" name="Button 67">
              <controlPr defaultSize="0" print="0" autoFill="0" autoPict="0" macro="[0]!doomeddown">
                <anchor moveWithCells="1" sizeWithCells="1">
                  <from>
                    <xdr:col>22</xdr:col>
                    <xdr:colOff>9525</xdr:colOff>
                    <xdr:row>78</xdr:row>
                    <xdr:rowOff>9525</xdr:rowOff>
                  </from>
                  <to>
                    <xdr:col>22</xdr:col>
                    <xdr:colOff>600075</xdr:colOff>
                    <xdr:row>79</xdr:row>
                    <xdr:rowOff>0</xdr:rowOff>
                  </to>
                </anchor>
              </controlPr>
            </control>
          </mc:Choice>
        </mc:AlternateContent>
        <mc:AlternateContent xmlns:mc="http://schemas.openxmlformats.org/markup-compatibility/2006">
          <mc:Choice Requires="x14">
            <control shapeId="1092" r:id="rId61" name="Button 68">
              <controlPr defaultSize="0" print="0" autoFill="0" autoPict="0" macro="[0]!Mistform">
                <anchor moveWithCells="1" sizeWithCells="1">
                  <from>
                    <xdr:col>26</xdr:col>
                    <xdr:colOff>0</xdr:colOff>
                    <xdr:row>6</xdr:row>
                    <xdr:rowOff>190500</xdr:rowOff>
                  </from>
                  <to>
                    <xdr:col>28</xdr:col>
                    <xdr:colOff>9525</xdr:colOff>
                    <xdr:row>8</xdr:row>
                    <xdr:rowOff>190500</xdr:rowOff>
                  </to>
                </anchor>
              </controlPr>
            </control>
          </mc:Choice>
        </mc:AlternateContent>
        <mc:AlternateContent xmlns:mc="http://schemas.openxmlformats.org/markup-compatibility/2006">
          <mc:Choice Requires="x14">
            <control shapeId="1093" r:id="rId62" name="Button 69">
              <controlPr defaultSize="0" print="0" autoFill="0" autoPict="0" macro="[0]!Cheetah">
                <anchor moveWithCells="1" sizeWithCells="1">
                  <from>
                    <xdr:col>25</xdr:col>
                    <xdr:colOff>581025</xdr:colOff>
                    <xdr:row>11</xdr:row>
                    <xdr:rowOff>0</xdr:rowOff>
                  </from>
                  <to>
                    <xdr:col>27</xdr:col>
                    <xdr:colOff>600075</xdr:colOff>
                    <xdr:row>12</xdr:row>
                    <xdr:rowOff>28575</xdr:rowOff>
                  </to>
                </anchor>
              </controlPr>
            </control>
          </mc:Choice>
        </mc:AlternateContent>
        <mc:AlternateContent xmlns:mc="http://schemas.openxmlformats.org/markup-compatibility/2006">
          <mc:Choice Requires="x14">
            <control shapeId="1094" r:id="rId63" name="Button 70">
              <controlPr defaultSize="0" print="0" autoFill="0" autoPict="0" macro="[0]!CatEye">
                <anchor moveWithCells="1" sizeWithCells="1">
                  <from>
                    <xdr:col>26</xdr:col>
                    <xdr:colOff>0</xdr:colOff>
                    <xdr:row>13</xdr:row>
                    <xdr:rowOff>180975</xdr:rowOff>
                  </from>
                  <to>
                    <xdr:col>28</xdr:col>
                    <xdr:colOff>0</xdr:colOff>
                    <xdr:row>16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'Alchemical Items'!$A$5:$A$38</xm:f>
          </x14:formula1>
          <xm:sqref>G67:G69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BN111"/>
  <sheetViews>
    <sheetView zoomScale="80" zoomScaleNormal="80" workbookViewId="0">
      <selection activeCell="P24" sqref="P24"/>
    </sheetView>
  </sheetViews>
  <sheetFormatPr defaultRowHeight="14.25"/>
  <cols>
    <col min="2" max="2" width="29.375" customWidth="1"/>
    <col min="3" max="4" width="7.75" customWidth="1"/>
    <col min="5" max="5" width="8.875" customWidth="1"/>
    <col min="6" max="7" width="11.25" customWidth="1"/>
    <col min="8" max="8" width="11.75" customWidth="1"/>
    <col min="9" max="10" width="11.25" customWidth="1"/>
    <col min="11" max="11" width="11.75" customWidth="1"/>
    <col min="12" max="15" width="11.25" customWidth="1"/>
    <col min="16" max="16" width="11.75" customWidth="1"/>
    <col min="18" max="18" width="27.375" customWidth="1"/>
    <col min="19" max="20" width="10.375" customWidth="1"/>
    <col min="21" max="21" width="11.75" customWidth="1"/>
    <col min="22" max="22" width="10.25" customWidth="1"/>
    <col min="23" max="23" width="9.875" customWidth="1"/>
    <col min="32" max="32" width="9.875" customWidth="1"/>
    <col min="36" max="36" width="34.625" customWidth="1"/>
    <col min="43" max="45" width="8.875" customWidth="1"/>
  </cols>
  <sheetData>
    <row r="2" spans="1:39" ht="15" thickBot="1"/>
    <row r="3" spans="1:39" ht="43.15" customHeight="1" thickTop="1">
      <c r="B3" s="180" t="s">
        <v>175</v>
      </c>
      <c r="C3" s="181"/>
      <c r="D3" s="181"/>
      <c r="E3" s="182"/>
      <c r="F3" s="183" t="s">
        <v>176</v>
      </c>
      <c r="G3" s="197" t="s">
        <v>177</v>
      </c>
      <c r="H3" s="199" t="s">
        <v>178</v>
      </c>
      <c r="I3" s="195" t="s">
        <v>179</v>
      </c>
      <c r="J3" s="191" t="s">
        <v>180</v>
      </c>
      <c r="K3" s="193" t="s">
        <v>181</v>
      </c>
      <c r="L3" s="185" t="s">
        <v>182</v>
      </c>
      <c r="M3" s="187" t="s">
        <v>183</v>
      </c>
      <c r="N3" s="191" t="s">
        <v>184</v>
      </c>
      <c r="O3" s="201" t="s">
        <v>185</v>
      </c>
      <c r="P3" s="189" t="s">
        <v>186</v>
      </c>
      <c r="Q3" s="2"/>
      <c r="R3" s="2"/>
      <c r="S3" s="2"/>
      <c r="T3" s="6" t="s">
        <v>3</v>
      </c>
      <c r="U3" s="7" t="s">
        <v>4</v>
      </c>
      <c r="V3" s="2"/>
      <c r="W3" s="7" t="s">
        <v>187</v>
      </c>
      <c r="X3" s="6" t="s">
        <v>1</v>
      </c>
      <c r="Y3" s="6" t="s">
        <v>0</v>
      </c>
      <c r="Z3" s="1"/>
      <c r="AA3" s="1"/>
      <c r="AB3" s="1"/>
      <c r="AC3" s="1"/>
      <c r="AD3" s="1"/>
      <c r="AE3" s="1"/>
      <c r="AF3" s="88" t="s">
        <v>188</v>
      </c>
      <c r="AG3" s="83" t="s">
        <v>189</v>
      </c>
      <c r="AH3" s="83" t="s">
        <v>190</v>
      </c>
      <c r="AI3" s="83" t="s">
        <v>191</v>
      </c>
      <c r="AJ3" s="83" t="s">
        <v>192</v>
      </c>
      <c r="AK3" s="83" t="s">
        <v>144</v>
      </c>
      <c r="AL3" s="88" t="s">
        <v>193</v>
      </c>
      <c r="AM3" s="83" t="s">
        <v>194</v>
      </c>
    </row>
    <row r="4" spans="1:39" ht="15" thickBot="1">
      <c r="B4" s="48" t="s">
        <v>195</v>
      </c>
      <c r="C4" s="49" t="s">
        <v>0</v>
      </c>
      <c r="D4" s="49" t="s">
        <v>196</v>
      </c>
      <c r="E4" s="50" t="s">
        <v>124</v>
      </c>
      <c r="F4" s="184"/>
      <c r="G4" s="198"/>
      <c r="H4" s="200"/>
      <c r="I4" s="196"/>
      <c r="J4" s="192"/>
      <c r="K4" s="194"/>
      <c r="L4" s="186"/>
      <c r="M4" s="188"/>
      <c r="N4" s="192"/>
      <c r="O4" s="202"/>
      <c r="P4" s="190"/>
      <c r="Q4" s="1"/>
      <c r="R4" s="1"/>
      <c r="S4" s="3" t="s">
        <v>5</v>
      </c>
      <c r="T4" s="3">
        <v>16</v>
      </c>
      <c r="U4" s="3">
        <f t="shared" ref="U4:U9" si="0">INT((T4-10)/2)</f>
        <v>3</v>
      </c>
      <c r="V4" s="1"/>
      <c r="W4" s="3">
        <f>4</f>
        <v>4</v>
      </c>
      <c r="X4" s="3">
        <f>10+W4+U7</f>
        <v>19</v>
      </c>
      <c r="Y4" s="3">
        <v>15</v>
      </c>
      <c r="Z4" s="1"/>
      <c r="AA4" s="1"/>
      <c r="AB4" s="1"/>
      <c r="AC4" s="1"/>
      <c r="AD4" s="1"/>
      <c r="AE4" s="1"/>
      <c r="AF4" s="1">
        <v>0</v>
      </c>
      <c r="AG4" s="1">
        <v>1</v>
      </c>
      <c r="AJ4" s="1"/>
      <c r="AK4" s="1"/>
      <c r="AL4" s="1"/>
    </row>
    <row r="5" spans="1:39" ht="15.75" thickTop="1" thickBot="1">
      <c r="A5" s="89">
        <v>1</v>
      </c>
      <c r="B5" s="44" t="s">
        <v>197</v>
      </c>
      <c r="C5" s="45">
        <v>1</v>
      </c>
      <c r="D5" s="45" t="s">
        <v>198</v>
      </c>
      <c r="E5" s="51" t="s">
        <v>199</v>
      </c>
      <c r="F5" s="44" t="str">
        <f t="shared" ref="F5:F10" si="1">IF(L5="","",IF(E5="Poison",L5*3+M5*1,L5*2+M5*1))</f>
        <v/>
      </c>
      <c r="G5" s="45"/>
      <c r="H5" s="62" t="str">
        <f>IF(F5="","",F5-G5)</f>
        <v/>
      </c>
      <c r="I5" s="44" t="str">
        <f t="shared" ref="I5:I10" si="2">IF(N5="","",N5)</f>
        <v/>
      </c>
      <c r="J5" s="45"/>
      <c r="K5" s="62" t="str">
        <f>IF(I5="","",I5-J5)</f>
        <v/>
      </c>
      <c r="L5" s="44"/>
      <c r="M5" s="45"/>
      <c r="N5" s="45"/>
      <c r="O5" s="61"/>
      <c r="P5" s="93">
        <f>Y4+U7-SUM(L5:L36)-SUM(M5:M36)-SUM(N5:N36)-SUM(V18:V22)</f>
        <v>8</v>
      </c>
      <c r="Q5" s="1"/>
      <c r="R5" s="1"/>
      <c r="S5" s="3" t="s">
        <v>6</v>
      </c>
      <c r="T5" s="3">
        <v>18</v>
      </c>
      <c r="U5" s="3">
        <f t="shared" si="0"/>
        <v>4</v>
      </c>
      <c r="V5" s="1"/>
      <c r="W5" s="1"/>
      <c r="X5" s="1"/>
      <c r="Y5" s="1"/>
      <c r="Z5" s="1"/>
      <c r="AA5" s="1"/>
      <c r="AB5" s="1"/>
      <c r="AC5" s="1"/>
      <c r="AD5" s="1"/>
      <c r="AE5" s="1"/>
      <c r="AF5" s="1"/>
      <c r="AG5" s="1">
        <v>2</v>
      </c>
      <c r="AJ5" s="1"/>
      <c r="AK5" s="1"/>
    </row>
    <row r="6" spans="1:39" ht="15" thickTop="1">
      <c r="A6" s="9">
        <v>2</v>
      </c>
      <c r="B6" s="46" t="s">
        <v>200</v>
      </c>
      <c r="C6" s="3">
        <v>1</v>
      </c>
      <c r="D6" s="3">
        <f>17+Character!G96</f>
        <v>18</v>
      </c>
      <c r="E6" s="52" t="s">
        <v>199</v>
      </c>
      <c r="F6" s="46" t="str">
        <f t="shared" si="1"/>
        <v/>
      </c>
      <c r="G6" s="3"/>
      <c r="H6" s="63" t="str">
        <f>IF(F6="","",F6-G6)</f>
        <v/>
      </c>
      <c r="I6" s="46" t="str">
        <f t="shared" si="2"/>
        <v/>
      </c>
      <c r="J6" s="3"/>
      <c r="K6" s="67" t="str">
        <f>IF(I6="","",I6-J6)</f>
        <v/>
      </c>
      <c r="L6" s="46"/>
      <c r="M6" s="3"/>
      <c r="N6" s="3"/>
      <c r="O6" s="52"/>
      <c r="P6" s="1"/>
      <c r="Q6" s="1"/>
      <c r="R6" s="1"/>
      <c r="S6" s="3" t="s">
        <v>7</v>
      </c>
      <c r="T6" s="3">
        <v>16</v>
      </c>
      <c r="U6" s="3">
        <f t="shared" si="0"/>
        <v>3</v>
      </c>
      <c r="V6" s="1"/>
      <c r="W6" s="1"/>
      <c r="X6" s="1"/>
      <c r="Y6" s="1"/>
      <c r="Z6" s="1"/>
      <c r="AA6" s="1"/>
      <c r="AB6" s="1"/>
      <c r="AC6" s="1"/>
      <c r="AD6" s="1"/>
      <c r="AE6" s="1"/>
      <c r="AF6" s="1"/>
      <c r="AG6" s="1">
        <v>3</v>
      </c>
      <c r="AJ6" s="1"/>
      <c r="AK6" s="1"/>
    </row>
    <row r="7" spans="1:39">
      <c r="A7" s="90">
        <v>3</v>
      </c>
      <c r="B7" s="47" t="s">
        <v>201</v>
      </c>
      <c r="C7" s="4">
        <v>1</v>
      </c>
      <c r="D7" s="4"/>
      <c r="E7" s="53" t="s">
        <v>202</v>
      </c>
      <c r="F7" s="47" t="str">
        <f t="shared" si="1"/>
        <v/>
      </c>
      <c r="G7" s="4"/>
      <c r="H7" s="64" t="str">
        <f>IF(F7="","",F7-G7)</f>
        <v/>
      </c>
      <c r="I7" s="47" t="str">
        <f t="shared" si="2"/>
        <v/>
      </c>
      <c r="J7" s="4"/>
      <c r="K7" s="64" t="str">
        <f>IF(I7="","",I7-J7)</f>
        <v/>
      </c>
      <c r="L7" s="47"/>
      <c r="M7" s="4"/>
      <c r="N7" s="4"/>
      <c r="O7" s="53"/>
      <c r="P7" s="1"/>
      <c r="Q7" s="1"/>
      <c r="R7" s="1"/>
      <c r="S7" s="3" t="s">
        <v>8</v>
      </c>
      <c r="T7" s="3">
        <v>20</v>
      </c>
      <c r="U7" s="3">
        <f t="shared" si="0"/>
        <v>5</v>
      </c>
      <c r="V7" s="1"/>
      <c r="W7" s="1"/>
      <c r="X7" s="1"/>
      <c r="Y7" s="1"/>
      <c r="Z7" s="1"/>
      <c r="AA7" s="1"/>
      <c r="AB7" s="1"/>
      <c r="AC7" s="1"/>
      <c r="AD7" s="1"/>
      <c r="AE7" s="1"/>
      <c r="AF7" s="1"/>
      <c r="AG7" s="1">
        <v>4</v>
      </c>
      <c r="AJ7" s="1"/>
      <c r="AK7" s="1"/>
    </row>
    <row r="8" spans="1:39">
      <c r="A8" s="9">
        <v>4</v>
      </c>
      <c r="B8" s="46" t="s">
        <v>203</v>
      </c>
      <c r="C8" s="3">
        <v>1</v>
      </c>
      <c r="D8" s="3"/>
      <c r="E8" s="52" t="s">
        <v>202</v>
      </c>
      <c r="F8" s="46">
        <f t="shared" si="1"/>
        <v>2</v>
      </c>
      <c r="G8" s="3"/>
      <c r="H8" s="63">
        <f>IF(F8="","",F8-G8)</f>
        <v>2</v>
      </c>
      <c r="I8" s="46" t="str">
        <f t="shared" si="2"/>
        <v/>
      </c>
      <c r="J8" s="3"/>
      <c r="K8" s="67" t="str">
        <f>IF(I8="","",I8-J8)</f>
        <v/>
      </c>
      <c r="L8" s="46">
        <v>1</v>
      </c>
      <c r="M8" s="3"/>
      <c r="N8" s="3"/>
      <c r="O8" s="52"/>
      <c r="P8" s="1"/>
      <c r="Q8" s="1"/>
      <c r="R8" s="1"/>
      <c r="S8" s="3" t="s">
        <v>9</v>
      </c>
      <c r="T8" s="3">
        <v>14</v>
      </c>
      <c r="U8" s="3">
        <f t="shared" si="0"/>
        <v>2</v>
      </c>
      <c r="V8" s="1"/>
      <c r="W8" s="1"/>
      <c r="X8" s="1"/>
      <c r="Y8" s="1"/>
      <c r="Z8" s="1"/>
      <c r="AA8" s="1"/>
      <c r="AB8" s="1"/>
      <c r="AC8" s="1"/>
      <c r="AD8" s="1"/>
      <c r="AE8" s="1"/>
      <c r="AF8" s="1"/>
      <c r="AG8" s="1">
        <v>5</v>
      </c>
      <c r="AJ8" s="1"/>
      <c r="AK8" s="1"/>
    </row>
    <row r="9" spans="1:39">
      <c r="A9" s="90">
        <v>5</v>
      </c>
      <c r="B9" s="47" t="s">
        <v>204</v>
      </c>
      <c r="C9" s="4">
        <v>1</v>
      </c>
      <c r="D9" s="4" t="s">
        <v>198</v>
      </c>
      <c r="E9" s="53" t="s">
        <v>202</v>
      </c>
      <c r="F9" s="47" t="str">
        <f t="shared" si="1"/>
        <v/>
      </c>
      <c r="G9" s="4"/>
      <c r="H9" s="64" t="str">
        <f t="shared" ref="H9:H38" si="3">IF(F9="","",F9-G9)</f>
        <v/>
      </c>
      <c r="I9" s="47" t="str">
        <f t="shared" si="2"/>
        <v/>
      </c>
      <c r="J9" s="4"/>
      <c r="K9" s="64" t="str">
        <f t="shared" ref="K9:K38" si="4">IF(I9="","",I9-J9)</f>
        <v/>
      </c>
      <c r="L9" s="47"/>
      <c r="M9" s="4"/>
      <c r="N9" s="4"/>
      <c r="O9" s="53"/>
      <c r="P9" s="1"/>
      <c r="Q9" s="1"/>
      <c r="R9" s="1"/>
      <c r="S9" s="3" t="s">
        <v>10</v>
      </c>
      <c r="T9" s="3">
        <v>8</v>
      </c>
      <c r="U9" s="3">
        <f t="shared" si="0"/>
        <v>-1</v>
      </c>
      <c r="V9" s="1"/>
      <c r="W9" s="1"/>
      <c r="X9" s="1"/>
      <c r="Y9" s="1"/>
      <c r="Z9" s="1"/>
      <c r="AA9" s="1"/>
      <c r="AB9" s="1"/>
      <c r="AC9" s="1"/>
      <c r="AD9" s="1"/>
      <c r="AE9" s="1"/>
      <c r="AF9" s="1"/>
      <c r="AG9" s="1">
        <v>6</v>
      </c>
      <c r="AJ9" s="1"/>
      <c r="AK9" s="1"/>
    </row>
    <row r="10" spans="1:39">
      <c r="A10" s="9">
        <v>6</v>
      </c>
      <c r="B10" s="46" t="s">
        <v>205</v>
      </c>
      <c r="C10" s="3">
        <v>1</v>
      </c>
      <c r="D10" s="3" t="s">
        <v>198</v>
      </c>
      <c r="E10" s="52" t="s">
        <v>202</v>
      </c>
      <c r="F10" s="46" t="str">
        <f t="shared" si="1"/>
        <v/>
      </c>
      <c r="G10" s="3"/>
      <c r="H10" s="63" t="str">
        <f t="shared" si="3"/>
        <v/>
      </c>
      <c r="I10" s="46" t="str">
        <f t="shared" si="2"/>
        <v/>
      </c>
      <c r="J10" s="3"/>
      <c r="K10" s="67" t="str">
        <f t="shared" si="4"/>
        <v/>
      </c>
      <c r="L10" s="46"/>
      <c r="M10" s="3"/>
      <c r="N10" s="3"/>
      <c r="O10" s="52"/>
      <c r="P10" s="1"/>
      <c r="Q10" s="1"/>
      <c r="R10" s="1"/>
      <c r="S10" s="1"/>
      <c r="T10" s="1"/>
      <c r="U10" s="1"/>
      <c r="V10" s="1"/>
      <c r="W10" s="1"/>
      <c r="X10" s="1"/>
      <c r="Y10" s="1"/>
      <c r="Z10" s="1"/>
      <c r="AA10" s="1"/>
      <c r="AB10" s="1"/>
      <c r="AC10" s="1"/>
      <c r="AD10" s="1"/>
      <c r="AE10" s="1"/>
      <c r="AF10" s="1"/>
      <c r="AG10" s="1">
        <v>7</v>
      </c>
      <c r="AJ10" s="1"/>
      <c r="AK10" s="1"/>
    </row>
    <row r="11" spans="1:39">
      <c r="A11" s="90">
        <v>7</v>
      </c>
      <c r="B11" s="54" t="s">
        <v>206</v>
      </c>
      <c r="C11" s="4">
        <v>1</v>
      </c>
      <c r="D11" s="4">
        <f>$X$4+Character!G$96</f>
        <v>20</v>
      </c>
      <c r="E11" s="53" t="s">
        <v>207</v>
      </c>
      <c r="F11" s="47">
        <f>IF(L11="","",L11*3)</f>
        <v>3</v>
      </c>
      <c r="G11" s="4"/>
      <c r="H11" s="64">
        <f t="shared" si="3"/>
        <v>3</v>
      </c>
      <c r="I11" s="47" t="str">
        <f>IF(O11="","",O11)</f>
        <v/>
      </c>
      <c r="J11" s="4"/>
      <c r="K11" s="64" t="str">
        <f t="shared" si="4"/>
        <v/>
      </c>
      <c r="L11" s="47">
        <v>1</v>
      </c>
      <c r="M11" s="4"/>
      <c r="N11" s="4"/>
      <c r="O11" s="53"/>
      <c r="P11" s="1"/>
      <c r="Q11" s="1"/>
      <c r="R11" s="1"/>
      <c r="S11" s="1"/>
      <c r="T11" s="1"/>
      <c r="U11" s="1"/>
      <c r="V11" s="1"/>
      <c r="W11" s="1"/>
      <c r="X11" s="1"/>
      <c r="Y11" s="1"/>
      <c r="Z11" s="1"/>
      <c r="AA11" s="1"/>
      <c r="AB11" s="1"/>
      <c r="AC11" s="1"/>
      <c r="AD11" s="1"/>
      <c r="AE11" s="1"/>
      <c r="AF11" s="1"/>
      <c r="AG11" s="1">
        <v>8</v>
      </c>
      <c r="AJ11" s="1"/>
      <c r="AK11" s="1"/>
    </row>
    <row r="12" spans="1:39">
      <c r="A12" s="9">
        <v>8</v>
      </c>
      <c r="B12" s="54" t="s">
        <v>208</v>
      </c>
      <c r="C12" s="3">
        <v>1</v>
      </c>
      <c r="D12" s="3">
        <f>$X$4+Character!G$96</f>
        <v>20</v>
      </c>
      <c r="E12" s="52" t="s">
        <v>207</v>
      </c>
      <c r="F12" s="46">
        <f>IF(L12="","",L12*3)</f>
        <v>3</v>
      </c>
      <c r="G12" s="3">
        <v>2</v>
      </c>
      <c r="H12" s="63">
        <f t="shared" si="3"/>
        <v>1</v>
      </c>
      <c r="I12" s="46" t="str">
        <f>IF(O12="","",O12)</f>
        <v/>
      </c>
      <c r="J12" s="3"/>
      <c r="K12" s="67" t="str">
        <f t="shared" si="4"/>
        <v/>
      </c>
      <c r="L12" s="46">
        <v>1</v>
      </c>
      <c r="M12" s="3"/>
      <c r="N12" s="3"/>
      <c r="O12" s="52"/>
      <c r="P12" s="1"/>
      <c r="Q12" s="1"/>
      <c r="R12" s="1"/>
      <c r="S12" s="1"/>
      <c r="T12" s="1"/>
      <c r="U12" s="1"/>
      <c r="V12" s="1"/>
      <c r="W12" s="1"/>
      <c r="X12" s="1"/>
      <c r="Y12" s="1"/>
      <c r="Z12" s="1"/>
      <c r="AA12" s="1"/>
      <c r="AB12" s="1"/>
      <c r="AC12" s="1"/>
      <c r="AD12" s="1"/>
      <c r="AE12" s="1"/>
      <c r="AF12" s="1"/>
      <c r="AG12" s="1">
        <v>9</v>
      </c>
      <c r="AJ12" s="1"/>
      <c r="AK12" s="1"/>
    </row>
    <row r="13" spans="1:39">
      <c r="A13" s="90">
        <v>9</v>
      </c>
      <c r="B13" s="47" t="s">
        <v>209</v>
      </c>
      <c r="C13" s="4">
        <v>2</v>
      </c>
      <c r="D13" s="4" t="s">
        <v>198</v>
      </c>
      <c r="E13" s="53" t="s">
        <v>202</v>
      </c>
      <c r="F13" s="47" t="str">
        <f t="shared" ref="F13:F18" si="5">IF(L13="","",IF(E13="Poison",L13*3+M13*1,L13*2+M13*1))</f>
        <v/>
      </c>
      <c r="G13" s="4"/>
      <c r="H13" s="64" t="str">
        <f t="shared" si="3"/>
        <v/>
      </c>
      <c r="I13" s="47" t="str">
        <f t="shared" ref="I13:I18" si="6">IF(N13="","",N13)</f>
        <v/>
      </c>
      <c r="J13" s="4"/>
      <c r="K13" s="64" t="str">
        <f t="shared" si="4"/>
        <v/>
      </c>
      <c r="L13" s="47"/>
      <c r="M13" s="4"/>
      <c r="N13" s="4"/>
      <c r="O13" s="53"/>
      <c r="P13" s="1"/>
      <c r="Q13" s="1"/>
      <c r="R13" s="1"/>
      <c r="S13" s="1"/>
      <c r="T13" s="1"/>
      <c r="U13" s="1"/>
      <c r="V13" s="1"/>
      <c r="W13" s="1"/>
      <c r="X13" s="1"/>
      <c r="Y13" s="1"/>
      <c r="Z13" s="1"/>
      <c r="AA13" s="1"/>
      <c r="AB13" s="1"/>
      <c r="AC13" s="1"/>
      <c r="AD13" s="1"/>
      <c r="AE13" s="1"/>
      <c r="AF13" s="1"/>
      <c r="AG13" s="1">
        <v>10</v>
      </c>
      <c r="AJ13" s="1"/>
      <c r="AK13" s="1"/>
    </row>
    <row r="14" spans="1:39" ht="14.45" customHeight="1">
      <c r="A14" s="9">
        <v>10</v>
      </c>
      <c r="B14" s="46" t="s">
        <v>148</v>
      </c>
      <c r="C14" s="3">
        <v>2</v>
      </c>
      <c r="D14" s="3" t="s">
        <v>198</v>
      </c>
      <c r="E14" s="52" t="s">
        <v>202</v>
      </c>
      <c r="F14" s="46" t="str">
        <f t="shared" si="5"/>
        <v/>
      </c>
      <c r="G14" s="3"/>
      <c r="H14" s="63" t="str">
        <f t="shared" si="3"/>
        <v/>
      </c>
      <c r="I14" s="46" t="str">
        <f t="shared" si="6"/>
        <v/>
      </c>
      <c r="J14" s="3"/>
      <c r="K14" s="67" t="str">
        <f t="shared" si="4"/>
        <v/>
      </c>
      <c r="L14" s="46"/>
      <c r="M14" s="3"/>
      <c r="N14" s="3"/>
      <c r="O14" s="52"/>
      <c r="P14" s="1"/>
      <c r="Q14" s="1"/>
      <c r="R14" s="203" t="s">
        <v>210</v>
      </c>
      <c r="S14" s="203" t="s">
        <v>176</v>
      </c>
      <c r="T14" s="203" t="s">
        <v>177</v>
      </c>
      <c r="U14" s="203" t="s">
        <v>178</v>
      </c>
      <c r="V14" s="203" t="s">
        <v>211</v>
      </c>
      <c r="W14" s="1"/>
      <c r="X14" s="1"/>
      <c r="Y14" s="1"/>
      <c r="Z14" s="1"/>
      <c r="AA14" s="1"/>
      <c r="AB14" s="1"/>
      <c r="AC14" s="1"/>
      <c r="AD14" s="1"/>
      <c r="AE14" s="1"/>
      <c r="AF14" s="1"/>
      <c r="AG14" s="1"/>
      <c r="AH14" s="1"/>
      <c r="AI14" s="1"/>
    </row>
    <row r="15" spans="1:39">
      <c r="A15" s="90">
        <v>11</v>
      </c>
      <c r="B15" s="47" t="s">
        <v>212</v>
      </c>
      <c r="C15" s="4">
        <v>3</v>
      </c>
      <c r="D15" s="4">
        <f>$X$4+Character!G$96</f>
        <v>20</v>
      </c>
      <c r="E15" s="53" t="s">
        <v>207</v>
      </c>
      <c r="F15" s="47" t="str">
        <f t="shared" si="5"/>
        <v/>
      </c>
      <c r="G15" s="4"/>
      <c r="H15" s="64" t="str">
        <f t="shared" si="3"/>
        <v/>
      </c>
      <c r="I15" s="47" t="str">
        <f t="shared" si="6"/>
        <v/>
      </c>
      <c r="J15" s="4"/>
      <c r="K15" s="64" t="str">
        <f t="shared" si="4"/>
        <v/>
      </c>
      <c r="L15" s="47"/>
      <c r="M15" s="4"/>
      <c r="N15" s="4"/>
      <c r="O15" s="53"/>
      <c r="P15" s="1"/>
      <c r="Q15" s="1"/>
      <c r="R15" s="203"/>
      <c r="S15" s="203"/>
      <c r="T15" s="203"/>
      <c r="U15" s="203"/>
      <c r="V15" s="203"/>
      <c r="W15" s="1"/>
      <c r="X15" s="1"/>
      <c r="Y15" s="1"/>
      <c r="Z15" s="1"/>
      <c r="AA15" s="1"/>
      <c r="AB15" s="1"/>
      <c r="AC15" s="1"/>
      <c r="AD15" s="1"/>
      <c r="AE15" s="1"/>
      <c r="AF15" s="1"/>
      <c r="AG15" s="1"/>
      <c r="AH15" s="1"/>
      <c r="AI15" s="1"/>
    </row>
    <row r="16" spans="1:39">
      <c r="A16" s="9">
        <v>12</v>
      </c>
      <c r="B16" s="46" t="s">
        <v>213</v>
      </c>
      <c r="C16" s="3">
        <v>3</v>
      </c>
      <c r="D16" s="3" t="s">
        <v>198</v>
      </c>
      <c r="E16" s="52" t="s">
        <v>202</v>
      </c>
      <c r="F16" s="46" t="str">
        <f t="shared" si="5"/>
        <v/>
      </c>
      <c r="G16" s="3"/>
      <c r="H16" s="63" t="str">
        <f t="shared" si="3"/>
        <v/>
      </c>
      <c r="I16" s="46">
        <f t="shared" si="6"/>
        <v>1</v>
      </c>
      <c r="J16" s="3">
        <v>1</v>
      </c>
      <c r="K16" s="67">
        <f t="shared" si="4"/>
        <v>0</v>
      </c>
      <c r="L16" s="46"/>
      <c r="M16" s="3"/>
      <c r="N16" s="3">
        <v>1</v>
      </c>
      <c r="O16" s="52"/>
      <c r="P16" s="1"/>
      <c r="Q16" s="1"/>
      <c r="R16" s="203"/>
      <c r="S16" s="203"/>
      <c r="T16" s="203"/>
      <c r="U16" s="203"/>
      <c r="V16" s="203"/>
      <c r="W16" s="1"/>
      <c r="X16" s="1"/>
      <c r="Y16" s="1"/>
      <c r="Z16" s="1"/>
      <c r="AA16" s="1"/>
      <c r="AB16" s="1"/>
      <c r="AC16" s="1"/>
      <c r="AD16" s="1"/>
      <c r="AE16" s="1"/>
      <c r="AF16" s="1"/>
      <c r="AG16" s="1"/>
      <c r="AH16" s="1"/>
      <c r="AI16" s="1"/>
    </row>
    <row r="17" spans="1:66">
      <c r="A17" s="90">
        <v>13</v>
      </c>
      <c r="B17" s="47" t="s">
        <v>214</v>
      </c>
      <c r="C17" s="4">
        <v>4</v>
      </c>
      <c r="D17" s="4" t="s">
        <v>198</v>
      </c>
      <c r="E17" s="53" t="s">
        <v>202</v>
      </c>
      <c r="F17" s="47" t="str">
        <f t="shared" si="5"/>
        <v/>
      </c>
      <c r="G17" s="4"/>
      <c r="H17" s="64" t="str">
        <f t="shared" si="3"/>
        <v/>
      </c>
      <c r="I17" s="47" t="str">
        <f t="shared" si="6"/>
        <v/>
      </c>
      <c r="J17" s="4"/>
      <c r="K17" s="64" t="str">
        <f t="shared" si="4"/>
        <v/>
      </c>
      <c r="L17" s="47"/>
      <c r="M17" s="4"/>
      <c r="N17" s="4"/>
      <c r="O17" s="53"/>
      <c r="P17" s="1"/>
      <c r="Q17" s="1"/>
      <c r="R17" s="203"/>
      <c r="S17" s="203"/>
      <c r="T17" s="203"/>
      <c r="U17" s="203"/>
      <c r="V17" s="203"/>
      <c r="W17" s="1"/>
      <c r="X17" s="1"/>
      <c r="Y17" s="1"/>
      <c r="Z17" s="1"/>
      <c r="AA17" s="1"/>
      <c r="AB17" s="1"/>
      <c r="AC17" s="1"/>
      <c r="AD17" s="1"/>
      <c r="AE17" s="1"/>
      <c r="AF17" s="1"/>
      <c r="AG17" s="1"/>
      <c r="AH17" s="1"/>
      <c r="AI17" s="1"/>
    </row>
    <row r="18" spans="1:66">
      <c r="A18" s="9">
        <v>14</v>
      </c>
      <c r="B18" s="46" t="s">
        <v>215</v>
      </c>
      <c r="C18" s="3">
        <v>4</v>
      </c>
      <c r="D18" s="3" t="s">
        <v>198</v>
      </c>
      <c r="E18" s="52" t="s">
        <v>202</v>
      </c>
      <c r="F18" s="46" t="str">
        <f t="shared" si="5"/>
        <v/>
      </c>
      <c r="G18" s="3"/>
      <c r="H18" s="63" t="str">
        <f t="shared" si="3"/>
        <v/>
      </c>
      <c r="I18" s="46" t="str">
        <f t="shared" si="6"/>
        <v/>
      </c>
      <c r="J18" s="3"/>
      <c r="K18" s="67" t="str">
        <f t="shared" si="4"/>
        <v/>
      </c>
      <c r="L18" s="46"/>
      <c r="M18" s="3"/>
      <c r="N18" s="3"/>
      <c r="O18" s="52"/>
      <c r="P18" s="1"/>
      <c r="Q18" s="1"/>
      <c r="R18" s="3" t="s">
        <v>216</v>
      </c>
      <c r="S18" s="3" t="str">
        <f>IF(V18="","",V18/3)</f>
        <v/>
      </c>
      <c r="T18" s="3"/>
      <c r="U18" s="14" t="str">
        <f>IF(S18="","",S18-T18)</f>
        <v/>
      </c>
      <c r="V18" s="3"/>
      <c r="W18" s="1"/>
      <c r="X18" s="1"/>
      <c r="Y18" s="1"/>
      <c r="Z18" s="1"/>
      <c r="AA18" s="1"/>
      <c r="AB18" s="1"/>
      <c r="AC18" s="1"/>
      <c r="AD18" s="1"/>
      <c r="AE18" s="1"/>
      <c r="AF18" s="1"/>
      <c r="AG18" s="1"/>
      <c r="AH18" s="1"/>
      <c r="AI18" s="1"/>
    </row>
    <row r="19" spans="1:66">
      <c r="A19" s="90">
        <v>15</v>
      </c>
      <c r="B19" s="54" t="s">
        <v>217</v>
      </c>
      <c r="C19" s="4">
        <v>5</v>
      </c>
      <c r="D19" s="4">
        <f>$X$4+Character!G$96</f>
        <v>20</v>
      </c>
      <c r="E19" s="53" t="s">
        <v>207</v>
      </c>
      <c r="F19" s="47">
        <f>IF(L19="","",L19*3)</f>
        <v>3</v>
      </c>
      <c r="G19" s="4">
        <v>2</v>
      </c>
      <c r="H19" s="64">
        <f t="shared" si="3"/>
        <v>1</v>
      </c>
      <c r="I19" s="47" t="str">
        <f>IF(O19="","",O19)</f>
        <v/>
      </c>
      <c r="J19" s="4"/>
      <c r="K19" s="64" t="str">
        <f t="shared" si="4"/>
        <v/>
      </c>
      <c r="L19" s="47">
        <v>1</v>
      </c>
      <c r="M19" s="4"/>
      <c r="N19" s="4"/>
      <c r="O19" s="53"/>
      <c r="P19" s="1"/>
      <c r="Q19" s="1"/>
      <c r="R19" s="3" t="s">
        <v>218</v>
      </c>
      <c r="S19" s="3" t="str">
        <f>IF(V19="","",V19/3)</f>
        <v/>
      </c>
      <c r="T19" s="3"/>
      <c r="U19" s="14" t="str">
        <f>IF(S19="","",S19-T19)</f>
        <v/>
      </c>
      <c r="V19" s="3"/>
      <c r="W19" s="1"/>
      <c r="X19" s="1"/>
      <c r="Y19" s="1"/>
      <c r="Z19" s="1"/>
      <c r="AA19" s="1"/>
      <c r="AB19" s="1"/>
      <c r="AC19" s="1"/>
      <c r="AD19" s="1"/>
      <c r="AE19" s="1"/>
      <c r="AF19" s="1"/>
      <c r="AG19" s="1"/>
      <c r="AH19" s="1"/>
      <c r="AI19" s="1"/>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row>
    <row r="20" spans="1:66">
      <c r="A20" s="9">
        <v>16</v>
      </c>
      <c r="B20" s="54" t="s">
        <v>219</v>
      </c>
      <c r="C20" s="3">
        <v>3</v>
      </c>
      <c r="D20" s="3">
        <f>$X$4+Character!G$96</f>
        <v>20</v>
      </c>
      <c r="E20" s="52" t="s">
        <v>207</v>
      </c>
      <c r="F20" s="46">
        <f>IF(L20="","",L20*3)</f>
        <v>3</v>
      </c>
      <c r="G20" s="3"/>
      <c r="H20" s="63">
        <f t="shared" si="3"/>
        <v>3</v>
      </c>
      <c r="I20" s="46" t="str">
        <f>IF(O20="","",O20)</f>
        <v/>
      </c>
      <c r="J20" s="3"/>
      <c r="K20" s="67" t="str">
        <f t="shared" si="4"/>
        <v/>
      </c>
      <c r="L20" s="46">
        <v>1</v>
      </c>
      <c r="M20" s="3"/>
      <c r="N20" s="3"/>
      <c r="O20" s="52"/>
      <c r="P20" s="1"/>
      <c r="Q20" s="1"/>
      <c r="R20" s="3" t="s">
        <v>220</v>
      </c>
      <c r="S20" s="3" t="str">
        <f>IF(V20="","",V20/3)</f>
        <v/>
      </c>
      <c r="T20" s="3"/>
      <c r="U20" s="14" t="str">
        <f>IF(S20="","",S20-T20)</f>
        <v/>
      </c>
      <c r="V20" s="3"/>
      <c r="W20" s="1"/>
      <c r="X20" s="1"/>
      <c r="Y20" s="1"/>
      <c r="Z20" s="1"/>
      <c r="AA20" s="1"/>
      <c r="AB20" s="1"/>
      <c r="AC20" s="1"/>
      <c r="AD20" s="1"/>
      <c r="AE20" s="1"/>
      <c r="AF20" s="1"/>
      <c r="AG20" s="1"/>
      <c r="AH20" s="1"/>
      <c r="AI20" s="1"/>
      <c r="AJ20" s="1">
        <f>COUNTIF(AJ21:AJ70,"&lt;&gt;"&amp;"")</f>
        <v>40</v>
      </c>
      <c r="AK20" s="1" t="s">
        <v>221</v>
      </c>
      <c r="AL20" s="1" t="s">
        <v>222</v>
      </c>
      <c r="AM20" s="1" t="s">
        <v>223</v>
      </c>
      <c r="AN20" s="1" t="s">
        <v>221</v>
      </c>
      <c r="AO20" s="1" t="s">
        <v>222</v>
      </c>
      <c r="AP20" s="1" t="s">
        <v>223</v>
      </c>
      <c r="AQ20" s="1" t="s">
        <v>221</v>
      </c>
      <c r="AR20" s="1" t="s">
        <v>222</v>
      </c>
      <c r="AS20" s="1" t="s">
        <v>223</v>
      </c>
      <c r="AT20" s="1" t="s">
        <v>221</v>
      </c>
      <c r="AU20" s="1" t="s">
        <v>222</v>
      </c>
      <c r="AV20" s="1" t="s">
        <v>223</v>
      </c>
      <c r="AW20" s="1" t="s">
        <v>221</v>
      </c>
      <c r="AX20" s="1" t="s">
        <v>222</v>
      </c>
      <c r="AY20" s="1" t="s">
        <v>223</v>
      </c>
      <c r="AZ20" s="1" t="s">
        <v>221</v>
      </c>
      <c r="BA20" s="1" t="s">
        <v>222</v>
      </c>
      <c r="BB20" s="1" t="s">
        <v>223</v>
      </c>
      <c r="BC20" s="1" t="s">
        <v>221</v>
      </c>
      <c r="BD20" s="1" t="s">
        <v>222</v>
      </c>
      <c r="BE20" s="1" t="s">
        <v>223</v>
      </c>
      <c r="BF20" s="1" t="s">
        <v>221</v>
      </c>
      <c r="BG20" s="1" t="s">
        <v>222</v>
      </c>
      <c r="BH20" s="1" t="s">
        <v>223</v>
      </c>
      <c r="BI20" s="1" t="s">
        <v>221</v>
      </c>
      <c r="BJ20" s="1" t="s">
        <v>222</v>
      </c>
      <c r="BK20" s="1" t="s">
        <v>223</v>
      </c>
      <c r="BL20" s="1" t="s">
        <v>221</v>
      </c>
      <c r="BM20" s="1" t="s">
        <v>222</v>
      </c>
      <c r="BN20" s="1" t="s">
        <v>223</v>
      </c>
    </row>
    <row r="21" spans="1:66">
      <c r="A21" s="90">
        <v>17</v>
      </c>
      <c r="B21" s="47" t="s">
        <v>224</v>
      </c>
      <c r="C21" s="4">
        <v>4</v>
      </c>
      <c r="D21" s="4" t="s">
        <v>198</v>
      </c>
      <c r="E21" s="53" t="s">
        <v>202</v>
      </c>
      <c r="F21" s="47">
        <f t="shared" ref="F21:F38" si="7">IF(L21="","",IF(E21="Poison",L21*3+M21*1,L21*2+M21*1))</f>
        <v>2</v>
      </c>
      <c r="G21" s="4"/>
      <c r="H21" s="64">
        <f t="shared" si="3"/>
        <v>2</v>
      </c>
      <c r="I21" s="47" t="str">
        <f t="shared" ref="I21:I38" si="8">IF(N21="","",N21)</f>
        <v/>
      </c>
      <c r="J21" s="4"/>
      <c r="K21" s="64" t="str">
        <f t="shared" si="4"/>
        <v/>
      </c>
      <c r="L21" s="47">
        <v>1</v>
      </c>
      <c r="M21" s="4"/>
      <c r="N21" s="4"/>
      <c r="O21" s="53"/>
      <c r="P21" s="1"/>
      <c r="Q21" s="1"/>
      <c r="R21" s="3" t="s">
        <v>225</v>
      </c>
      <c r="S21" s="3" t="str">
        <f>IF(V21="","",V21/3)</f>
        <v/>
      </c>
      <c r="T21" s="3"/>
      <c r="U21" s="14" t="str">
        <f>IF(S21="","",S21-T21)</f>
        <v/>
      </c>
      <c r="V21" s="3"/>
      <c r="W21" s="1"/>
      <c r="X21" s="1"/>
      <c r="Y21" s="1"/>
      <c r="Z21" s="1"/>
      <c r="AA21" s="1"/>
      <c r="AB21" s="1"/>
      <c r="AC21" s="1"/>
      <c r="AD21" s="1"/>
      <c r="AE21" s="31"/>
      <c r="AF21" s="1"/>
      <c r="AG21" s="1"/>
      <c r="AH21" s="31"/>
      <c r="AI21" s="1"/>
      <c r="AJ21" s="4" t="s">
        <v>197</v>
      </c>
      <c r="AM21" s="1" t="str">
        <f>IF(AK21="","NO",IF(AK21=$AF$4,"YES",IF($AF$4-AK21=1,IF(INDEX($AG$4:$AI$13,$AF$4,3)="OK","NO","YES"),"NO")))</f>
        <v>NO</v>
      </c>
      <c r="AP21" s="1" t="str">
        <f t="shared" ref="AP21:AP54" si="9">IF(AN21="","NO",IF(AN21=$AF$4,"YES",IF($AF$4-AN21=1,IF(INDEX($AG$4:$AI$13,$AF$4,3)="OK","NO","YES"),"NO")))</f>
        <v>NO</v>
      </c>
      <c r="AS21" s="1" t="str">
        <f t="shared" ref="AS21:AS54" si="10">IF(AQ21="","NO",IF(AQ21=$AF$4,"YES",IF($AF$4-AQ21=1,IF(INDEX($AG$4:$AI$13,$AF$4,3)="OK","NO","YES"),"NO")))</f>
        <v>NO</v>
      </c>
      <c r="AV21" s="1" t="str">
        <f t="shared" ref="AV21:AV54" si="11">IF(AT21="","NO",IF(AT21=$AF$4,"YES",IF($AF$4-AT21=1,IF(INDEX($AG$4:$AI$13,$AF$4,3)="OK","NO","YES"),"NO")))</f>
        <v>NO</v>
      </c>
      <c r="AY21" s="1" t="str">
        <f t="shared" ref="AY21:AY54" si="12">IF(AW21="","NO",IF(AW21=$AF$4,"YES",IF($AF$4-AW21=1,IF(INDEX($AG$4:$AI$13,$AF$4,3)="OK","NO","YES"),"NO")))</f>
        <v>NO</v>
      </c>
      <c r="BB21" s="1" t="str">
        <f t="shared" ref="BB21:BB54" si="13">IF(AZ21="","NO",IF(AZ21=$AF$4,"YES",IF($AF$4-AZ21=1,IF(INDEX($AG$4:$AI$13,$AF$4,3)="OK","NO","YES"),"NO")))</f>
        <v>NO</v>
      </c>
      <c r="BE21" s="1" t="str">
        <f t="shared" ref="BE21:BE54" si="14">IF(BC21="","NO",IF(BC21=$AF$4,"YES",IF($AF$4-BC21=1,IF(INDEX($AG$4:$AI$13,$AF$4,3)="OK","NO","YES"),"NO")))</f>
        <v>NO</v>
      </c>
      <c r="BH21" s="1" t="str">
        <f t="shared" ref="BH21:BH54" si="15">IF(BF21="","NO",IF(BF21=$AF$4,"YES",IF($AF$4-BF21=1,IF(INDEX($AG$4:$AI$13,$AF$4,3)="OK","NO","YES"),"NO")))</f>
        <v>NO</v>
      </c>
      <c r="BK21" s="1" t="str">
        <f t="shared" ref="BK21:BK54" si="16">IF(BI21="","NO",IF(BI21=$AF$4,"YES",IF($AF$4-BI21=1,IF(INDEX($AG$4:$AI$13,$AF$4,3)="OK","NO","YES"),"NO")))</f>
        <v>NO</v>
      </c>
      <c r="BN21" s="1" t="str">
        <f t="shared" ref="BN21:BN54" si="17">IF(BL21="","NO",IF(BL21=$AF$4,"YES",IF($AF$4-BL21=1,IF(INDEX($AG$4:$AI$13,$AF$4,3)="OK","NO","YES"),"NO")))</f>
        <v>NO</v>
      </c>
    </row>
    <row r="22" spans="1:66">
      <c r="A22" s="9">
        <v>18</v>
      </c>
      <c r="B22" s="46" t="s">
        <v>226</v>
      </c>
      <c r="C22" s="3">
        <v>2</v>
      </c>
      <c r="D22" s="3" t="s">
        <v>198</v>
      </c>
      <c r="E22" s="52" t="s">
        <v>227</v>
      </c>
      <c r="F22" s="46" t="str">
        <f t="shared" si="7"/>
        <v/>
      </c>
      <c r="G22" s="3"/>
      <c r="H22" s="63" t="str">
        <f t="shared" si="3"/>
        <v/>
      </c>
      <c r="I22" s="46" t="str">
        <f t="shared" si="8"/>
        <v/>
      </c>
      <c r="J22" s="3"/>
      <c r="K22" s="67" t="str">
        <f t="shared" si="4"/>
        <v/>
      </c>
      <c r="L22" s="46"/>
      <c r="M22" s="3"/>
      <c r="N22" s="3"/>
      <c r="O22" s="52"/>
      <c r="P22" s="1"/>
      <c r="Q22" s="1"/>
      <c r="R22" s="3"/>
      <c r="S22" s="3" t="str">
        <f>IF(V22="","",V22/3)</f>
        <v/>
      </c>
      <c r="T22" s="3"/>
      <c r="U22" s="14" t="str">
        <f>IF(S22="","",S22-T22)</f>
        <v/>
      </c>
      <c r="V22" s="3"/>
      <c r="W22" s="1"/>
      <c r="X22" s="1"/>
      <c r="Y22" s="1"/>
      <c r="Z22" s="1"/>
      <c r="AA22" s="1"/>
      <c r="AB22" s="1"/>
      <c r="AC22" s="1"/>
      <c r="AD22" s="1"/>
      <c r="AE22" s="31"/>
      <c r="AF22" s="1"/>
      <c r="AG22" s="1"/>
      <c r="AH22" s="31"/>
      <c r="AI22" s="1"/>
      <c r="AJ22" s="3" t="s">
        <v>200</v>
      </c>
      <c r="AM22" s="1" t="str">
        <f t="shared" ref="AM22:AM54" si="18">IF(AK22="","NO",IF(AK22=$AF$4,"YES",IF($AF$4-AK22=1,IF(INDEX($AG$4:$AI$13,$AF$4,3)="OK","NO","YES"),"NO")))</f>
        <v>NO</v>
      </c>
      <c r="AP22" s="1" t="str">
        <f t="shared" si="9"/>
        <v>NO</v>
      </c>
      <c r="AS22" s="1" t="str">
        <f t="shared" si="10"/>
        <v>NO</v>
      </c>
      <c r="AV22" s="1" t="str">
        <f t="shared" si="11"/>
        <v>NO</v>
      </c>
      <c r="AY22" s="1" t="str">
        <f t="shared" si="12"/>
        <v>NO</v>
      </c>
      <c r="BB22" s="1" t="str">
        <f t="shared" si="13"/>
        <v>NO</v>
      </c>
      <c r="BE22" s="1" t="str">
        <f t="shared" si="14"/>
        <v>NO</v>
      </c>
      <c r="BH22" s="1" t="str">
        <f t="shared" si="15"/>
        <v>NO</v>
      </c>
      <c r="BK22" s="1" t="str">
        <f t="shared" si="16"/>
        <v>NO</v>
      </c>
      <c r="BN22" s="1" t="str">
        <f t="shared" si="17"/>
        <v>NO</v>
      </c>
    </row>
    <row r="23" spans="1:66">
      <c r="A23" s="90">
        <v>19</v>
      </c>
      <c r="B23" s="47" t="s">
        <v>228</v>
      </c>
      <c r="C23" s="4">
        <v>7</v>
      </c>
      <c r="D23" s="4">
        <f>$X$4+Character!G$96</f>
        <v>20</v>
      </c>
      <c r="E23" s="53" t="s">
        <v>207</v>
      </c>
      <c r="F23" s="47">
        <f t="shared" si="7"/>
        <v>3</v>
      </c>
      <c r="G23" s="4"/>
      <c r="H23" s="64">
        <f t="shared" si="3"/>
        <v>3</v>
      </c>
      <c r="I23" s="47" t="str">
        <f t="shared" si="8"/>
        <v/>
      </c>
      <c r="J23" s="4"/>
      <c r="K23" s="64" t="str">
        <f t="shared" si="4"/>
        <v/>
      </c>
      <c r="L23" s="47">
        <v>1</v>
      </c>
      <c r="M23" s="4"/>
      <c r="N23" s="4"/>
      <c r="O23" s="53"/>
      <c r="P23" s="1"/>
      <c r="Q23" s="1"/>
      <c r="R23" s="1"/>
      <c r="S23" s="1"/>
      <c r="T23" s="1"/>
      <c r="U23" s="1"/>
      <c r="V23" s="1"/>
      <c r="W23" s="1"/>
      <c r="X23" s="1"/>
      <c r="Y23" s="1"/>
      <c r="Z23" s="1"/>
      <c r="AA23" s="1"/>
      <c r="AB23" s="1"/>
      <c r="AC23" s="1"/>
      <c r="AD23" s="1"/>
      <c r="AE23" s="31"/>
      <c r="AF23" s="1"/>
      <c r="AG23" s="1"/>
      <c r="AH23" s="31"/>
      <c r="AI23" s="1"/>
      <c r="AJ23" s="4" t="s">
        <v>201</v>
      </c>
      <c r="AM23" s="1" t="str">
        <f t="shared" si="18"/>
        <v>NO</v>
      </c>
      <c r="AP23" s="1" t="str">
        <f t="shared" si="9"/>
        <v>NO</v>
      </c>
      <c r="AS23" s="1" t="str">
        <f t="shared" si="10"/>
        <v>NO</v>
      </c>
      <c r="AV23" s="1" t="str">
        <f t="shared" si="11"/>
        <v>NO</v>
      </c>
      <c r="AY23" s="1" t="str">
        <f t="shared" si="12"/>
        <v>NO</v>
      </c>
      <c r="BB23" s="1" t="str">
        <f t="shared" si="13"/>
        <v>NO</v>
      </c>
      <c r="BE23" s="1" t="str">
        <f t="shared" si="14"/>
        <v>NO</v>
      </c>
      <c r="BH23" s="1" t="str">
        <f t="shared" si="15"/>
        <v>NO</v>
      </c>
      <c r="BK23" s="1" t="str">
        <f t="shared" si="16"/>
        <v>NO</v>
      </c>
      <c r="BN23" s="1" t="str">
        <f t="shared" si="17"/>
        <v>NO</v>
      </c>
    </row>
    <row r="24" spans="1:66">
      <c r="A24" s="9">
        <v>20</v>
      </c>
      <c r="B24" s="46" t="s">
        <v>229</v>
      </c>
      <c r="C24" s="3">
        <v>6</v>
      </c>
      <c r="D24" s="3" t="s">
        <v>198</v>
      </c>
      <c r="E24" s="52" t="s">
        <v>202</v>
      </c>
      <c r="F24" s="46">
        <f t="shared" si="7"/>
        <v>2</v>
      </c>
      <c r="G24" s="3"/>
      <c r="H24" s="63">
        <f t="shared" si="3"/>
        <v>2</v>
      </c>
      <c r="I24" s="46" t="str">
        <f t="shared" si="8"/>
        <v/>
      </c>
      <c r="J24" s="3"/>
      <c r="K24" s="67" t="str">
        <f t="shared" si="4"/>
        <v/>
      </c>
      <c r="L24" s="46">
        <v>1</v>
      </c>
      <c r="M24" s="3"/>
      <c r="N24" s="3"/>
      <c r="O24" s="52"/>
      <c r="P24" s="1"/>
      <c r="Q24" s="1"/>
      <c r="R24" s="1"/>
      <c r="S24" s="1"/>
      <c r="T24" s="1"/>
      <c r="U24" s="1"/>
      <c r="V24" s="1"/>
      <c r="W24" s="1"/>
      <c r="X24" s="1"/>
      <c r="Y24" s="1"/>
      <c r="Z24" s="1"/>
      <c r="AA24" s="1"/>
      <c r="AB24" s="1"/>
      <c r="AC24" s="1"/>
      <c r="AD24" s="1"/>
      <c r="AE24" s="31"/>
      <c r="AF24" s="1"/>
      <c r="AG24" s="1"/>
      <c r="AH24" s="31"/>
      <c r="AI24" s="1"/>
      <c r="AJ24" s="3" t="s">
        <v>203</v>
      </c>
      <c r="AM24" s="1" t="str">
        <f t="shared" si="18"/>
        <v>NO</v>
      </c>
      <c r="AP24" s="1" t="str">
        <f t="shared" si="9"/>
        <v>NO</v>
      </c>
      <c r="AS24" s="1" t="str">
        <f t="shared" si="10"/>
        <v>NO</v>
      </c>
      <c r="AV24" s="1" t="str">
        <f t="shared" si="11"/>
        <v>NO</v>
      </c>
      <c r="AY24" s="1" t="str">
        <f t="shared" si="12"/>
        <v>NO</v>
      </c>
      <c r="BB24" s="1" t="str">
        <f t="shared" si="13"/>
        <v>NO</v>
      </c>
      <c r="BE24" s="1" t="str">
        <f t="shared" si="14"/>
        <v>NO</v>
      </c>
      <c r="BH24" s="1" t="str">
        <f t="shared" si="15"/>
        <v>NO</v>
      </c>
      <c r="BK24" s="1" t="str">
        <f t="shared" si="16"/>
        <v>NO</v>
      </c>
      <c r="BN24" s="1" t="str">
        <f t="shared" si="17"/>
        <v>NO</v>
      </c>
    </row>
    <row r="25" spans="1:66">
      <c r="A25" s="90">
        <v>21</v>
      </c>
      <c r="B25" s="47" t="s">
        <v>230</v>
      </c>
      <c r="C25" s="4">
        <v>8</v>
      </c>
      <c r="D25" s="4">
        <f>$X$4+Character!G$96</f>
        <v>20</v>
      </c>
      <c r="E25" s="53" t="s">
        <v>207</v>
      </c>
      <c r="F25" s="47" t="str">
        <f t="shared" si="7"/>
        <v/>
      </c>
      <c r="G25" s="4"/>
      <c r="H25" s="64" t="str">
        <f t="shared" si="3"/>
        <v/>
      </c>
      <c r="I25" s="47" t="str">
        <f t="shared" si="8"/>
        <v/>
      </c>
      <c r="J25" s="4"/>
      <c r="K25" s="64" t="str">
        <f t="shared" si="4"/>
        <v/>
      </c>
      <c r="L25" s="47"/>
      <c r="M25" s="4"/>
      <c r="N25" s="4"/>
      <c r="O25" s="53"/>
      <c r="P25" s="1"/>
      <c r="Q25" s="1"/>
      <c r="R25" s="1"/>
      <c r="S25" s="1"/>
      <c r="T25" s="1"/>
      <c r="U25" s="1"/>
      <c r="V25" s="1"/>
      <c r="W25" s="1"/>
      <c r="X25" s="1"/>
      <c r="Y25" s="1"/>
      <c r="Z25" s="1"/>
      <c r="AA25" s="1"/>
      <c r="AB25" s="1"/>
      <c r="AC25" s="1"/>
      <c r="AD25" s="1"/>
      <c r="AE25" s="31"/>
      <c r="AF25" s="1"/>
      <c r="AH25" s="31"/>
      <c r="AJ25" s="4" t="s">
        <v>204</v>
      </c>
      <c r="AM25" s="1" t="str">
        <f t="shared" si="18"/>
        <v>NO</v>
      </c>
      <c r="AP25" s="1" t="str">
        <f t="shared" si="9"/>
        <v>NO</v>
      </c>
      <c r="AS25" s="1" t="str">
        <f t="shared" si="10"/>
        <v>NO</v>
      </c>
      <c r="AV25" s="1" t="str">
        <f t="shared" si="11"/>
        <v>NO</v>
      </c>
      <c r="AY25" s="1" t="str">
        <f t="shared" si="12"/>
        <v>NO</v>
      </c>
      <c r="BB25" s="1" t="str">
        <f t="shared" si="13"/>
        <v>NO</v>
      </c>
      <c r="BE25" s="1" t="str">
        <f t="shared" si="14"/>
        <v>NO</v>
      </c>
      <c r="BH25" s="1" t="str">
        <f t="shared" si="15"/>
        <v>NO</v>
      </c>
      <c r="BK25" s="1" t="str">
        <f t="shared" si="16"/>
        <v>NO</v>
      </c>
      <c r="BN25" s="1" t="str">
        <f t="shared" si="17"/>
        <v>NO</v>
      </c>
    </row>
    <row r="26" spans="1:66">
      <c r="A26" s="9">
        <v>22</v>
      </c>
      <c r="B26" s="46" t="s">
        <v>231</v>
      </c>
      <c r="C26" s="3">
        <v>7</v>
      </c>
      <c r="D26" s="75"/>
      <c r="E26" s="52" t="s">
        <v>227</v>
      </c>
      <c r="F26" s="46" t="str">
        <f t="shared" si="7"/>
        <v/>
      </c>
      <c r="G26" s="3"/>
      <c r="H26" s="63" t="str">
        <f t="shared" si="3"/>
        <v/>
      </c>
      <c r="I26" s="46" t="str">
        <f t="shared" si="8"/>
        <v/>
      </c>
      <c r="J26" s="3"/>
      <c r="K26" s="67" t="str">
        <f t="shared" si="4"/>
        <v/>
      </c>
      <c r="L26" s="46"/>
      <c r="M26" s="3"/>
      <c r="N26" s="3"/>
      <c r="O26" s="52"/>
      <c r="P26" s="1"/>
      <c r="Q26" s="1"/>
      <c r="R26" s="1"/>
      <c r="S26" s="1"/>
      <c r="T26" s="1"/>
      <c r="U26" s="1"/>
      <c r="V26" s="1"/>
      <c r="W26" s="1"/>
      <c r="X26" s="1"/>
      <c r="Y26" s="1"/>
      <c r="Z26" s="1"/>
      <c r="AA26" s="1"/>
      <c r="AB26" s="1"/>
      <c r="AC26" s="1"/>
      <c r="AD26" s="1"/>
      <c r="AE26" s="31"/>
      <c r="AF26" s="1"/>
      <c r="AH26" s="31"/>
      <c r="AJ26" s="3" t="s">
        <v>205</v>
      </c>
      <c r="AM26" s="1" t="str">
        <f t="shared" si="18"/>
        <v>NO</v>
      </c>
      <c r="AP26" s="1" t="str">
        <f t="shared" si="9"/>
        <v>NO</v>
      </c>
      <c r="AS26" s="1" t="str">
        <f t="shared" si="10"/>
        <v>NO</v>
      </c>
      <c r="AV26" s="1" t="str">
        <f t="shared" si="11"/>
        <v>NO</v>
      </c>
      <c r="AY26" s="1" t="str">
        <f t="shared" si="12"/>
        <v>NO</v>
      </c>
      <c r="BB26" s="1" t="str">
        <f t="shared" si="13"/>
        <v>NO</v>
      </c>
      <c r="BE26" s="1" t="str">
        <f t="shared" si="14"/>
        <v>NO</v>
      </c>
      <c r="BH26" s="1" t="str">
        <f t="shared" si="15"/>
        <v>NO</v>
      </c>
      <c r="BK26" s="1" t="str">
        <f t="shared" si="16"/>
        <v>NO</v>
      </c>
      <c r="BN26" s="1" t="str">
        <f t="shared" si="17"/>
        <v>NO</v>
      </c>
    </row>
    <row r="27" spans="1:66">
      <c r="A27" s="90">
        <v>23</v>
      </c>
      <c r="B27" s="47" t="s">
        <v>232</v>
      </c>
      <c r="C27" s="4">
        <v>9</v>
      </c>
      <c r="D27" s="4"/>
      <c r="E27" s="53" t="s">
        <v>227</v>
      </c>
      <c r="F27" s="47" t="str">
        <f t="shared" si="7"/>
        <v/>
      </c>
      <c r="G27" s="4"/>
      <c r="H27" s="64" t="str">
        <f t="shared" si="3"/>
        <v/>
      </c>
      <c r="I27" s="47" t="str">
        <f t="shared" si="8"/>
        <v/>
      </c>
      <c r="J27" s="4"/>
      <c r="K27" s="64" t="str">
        <f t="shared" si="4"/>
        <v/>
      </c>
      <c r="L27" s="47"/>
      <c r="M27" s="4"/>
      <c r="N27" s="4"/>
      <c r="O27" s="53"/>
      <c r="P27" s="1"/>
      <c r="Q27" s="1"/>
      <c r="R27" s="1"/>
      <c r="S27" s="1"/>
      <c r="T27" s="1"/>
      <c r="U27" s="1"/>
      <c r="V27" s="1"/>
      <c r="W27" s="1"/>
      <c r="X27" s="1"/>
      <c r="Y27" s="1"/>
      <c r="Z27" s="1"/>
      <c r="AA27" s="1"/>
      <c r="AB27" s="1"/>
      <c r="AC27" s="1"/>
      <c r="AD27" s="1"/>
      <c r="AE27" s="31"/>
      <c r="AF27" s="1"/>
      <c r="AH27" s="31"/>
      <c r="AJ27" s="8" t="s">
        <v>206</v>
      </c>
      <c r="AM27" s="1" t="str">
        <f t="shared" si="18"/>
        <v>NO</v>
      </c>
      <c r="AP27" s="1" t="str">
        <f t="shared" si="9"/>
        <v>NO</v>
      </c>
      <c r="AS27" s="1" t="str">
        <f t="shared" si="10"/>
        <v>NO</v>
      </c>
      <c r="AV27" s="1" t="str">
        <f t="shared" si="11"/>
        <v>NO</v>
      </c>
      <c r="AY27" s="1" t="str">
        <f t="shared" si="12"/>
        <v>NO</v>
      </c>
      <c r="BB27" s="1" t="str">
        <f t="shared" si="13"/>
        <v>NO</v>
      </c>
      <c r="BE27" s="1" t="str">
        <f t="shared" si="14"/>
        <v>NO</v>
      </c>
      <c r="BH27" s="1" t="str">
        <f t="shared" si="15"/>
        <v>NO</v>
      </c>
      <c r="BK27" s="1" t="str">
        <f t="shared" si="16"/>
        <v>NO</v>
      </c>
      <c r="BN27" s="1" t="str">
        <f t="shared" si="17"/>
        <v>NO</v>
      </c>
    </row>
    <row r="28" spans="1:66">
      <c r="A28" s="9">
        <v>24</v>
      </c>
      <c r="B28" s="46" t="s">
        <v>233</v>
      </c>
      <c r="C28" s="3">
        <v>7</v>
      </c>
      <c r="D28" s="3" t="s">
        <v>198</v>
      </c>
      <c r="E28" s="52" t="s">
        <v>227</v>
      </c>
      <c r="F28" s="46" t="str">
        <f t="shared" si="7"/>
        <v/>
      </c>
      <c r="G28" s="3"/>
      <c r="H28" s="63" t="str">
        <f t="shared" si="3"/>
        <v/>
      </c>
      <c r="I28" s="46" t="str">
        <f t="shared" si="8"/>
        <v/>
      </c>
      <c r="J28" s="3"/>
      <c r="K28" s="67" t="str">
        <f t="shared" si="4"/>
        <v/>
      </c>
      <c r="L28" s="46"/>
      <c r="M28" s="3"/>
      <c r="N28" s="3"/>
      <c r="O28" s="52"/>
      <c r="P28" s="1"/>
      <c r="Q28" s="1"/>
      <c r="R28" s="1"/>
      <c r="S28" s="1"/>
      <c r="T28" s="1"/>
      <c r="U28" s="1"/>
      <c r="V28" s="1"/>
      <c r="W28" s="1"/>
      <c r="X28" s="1"/>
      <c r="Y28" s="1"/>
      <c r="Z28" s="1"/>
      <c r="AA28" s="1"/>
      <c r="AB28" s="1"/>
      <c r="AC28" s="1"/>
      <c r="AD28" s="1"/>
      <c r="AE28" s="31"/>
      <c r="AF28" s="1"/>
      <c r="AH28" s="31"/>
      <c r="AJ28" s="8" t="s">
        <v>208</v>
      </c>
      <c r="AM28" s="1" t="str">
        <f t="shared" si="18"/>
        <v>NO</v>
      </c>
      <c r="AP28" s="1" t="str">
        <f t="shared" si="9"/>
        <v>NO</v>
      </c>
      <c r="AS28" s="1" t="str">
        <f t="shared" si="10"/>
        <v>NO</v>
      </c>
      <c r="AV28" s="1" t="str">
        <f t="shared" si="11"/>
        <v>NO</v>
      </c>
      <c r="AY28" s="1" t="str">
        <f t="shared" si="12"/>
        <v>NO</v>
      </c>
      <c r="BB28" s="1" t="str">
        <f t="shared" si="13"/>
        <v>NO</v>
      </c>
      <c r="BE28" s="1" t="str">
        <f t="shared" si="14"/>
        <v>NO</v>
      </c>
      <c r="BH28" s="1" t="str">
        <f t="shared" si="15"/>
        <v>NO</v>
      </c>
      <c r="BK28" s="1" t="str">
        <f t="shared" si="16"/>
        <v>NO</v>
      </c>
      <c r="BN28" s="1" t="str">
        <f t="shared" si="17"/>
        <v>NO</v>
      </c>
    </row>
    <row r="29" spans="1:66">
      <c r="A29" s="90">
        <v>25</v>
      </c>
      <c r="B29" s="47" t="s">
        <v>234</v>
      </c>
      <c r="C29" s="4">
        <v>10</v>
      </c>
      <c r="D29" s="4">
        <f>$X$4+Character!G$96</f>
        <v>20</v>
      </c>
      <c r="E29" s="53" t="s">
        <v>207</v>
      </c>
      <c r="F29" s="47" t="str">
        <f t="shared" si="7"/>
        <v/>
      </c>
      <c r="G29" s="4"/>
      <c r="H29" s="64" t="str">
        <f t="shared" si="3"/>
        <v/>
      </c>
      <c r="I29" s="47" t="str">
        <f t="shared" si="8"/>
        <v/>
      </c>
      <c r="J29" s="4"/>
      <c r="K29" s="64" t="str">
        <f t="shared" si="4"/>
        <v/>
      </c>
      <c r="L29" s="47"/>
      <c r="M29" s="4"/>
      <c r="N29" s="4"/>
      <c r="O29" s="53"/>
      <c r="P29" s="1"/>
      <c r="Q29" s="1"/>
      <c r="R29" s="1"/>
      <c r="S29" s="1"/>
      <c r="T29" s="1"/>
      <c r="U29" s="1"/>
      <c r="V29" s="1"/>
      <c r="W29" s="1"/>
      <c r="X29" s="1"/>
      <c r="Y29" s="1"/>
      <c r="Z29" s="1"/>
      <c r="AA29" s="1"/>
      <c r="AB29" s="1"/>
      <c r="AC29" s="1"/>
      <c r="AD29" s="1"/>
      <c r="AE29" s="31"/>
      <c r="AF29" s="1"/>
      <c r="AH29" s="31"/>
      <c r="AJ29" s="4" t="s">
        <v>209</v>
      </c>
      <c r="AM29" s="1" t="str">
        <f t="shared" si="18"/>
        <v>NO</v>
      </c>
      <c r="AP29" s="1" t="str">
        <f t="shared" si="9"/>
        <v>NO</v>
      </c>
      <c r="AS29" s="1" t="str">
        <f t="shared" si="10"/>
        <v>NO</v>
      </c>
      <c r="AV29" s="1" t="str">
        <f t="shared" si="11"/>
        <v>NO</v>
      </c>
      <c r="AY29" s="1" t="str">
        <f t="shared" si="12"/>
        <v>NO</v>
      </c>
      <c r="BB29" s="1" t="str">
        <f t="shared" si="13"/>
        <v>NO</v>
      </c>
      <c r="BE29" s="1" t="str">
        <f t="shared" si="14"/>
        <v>NO</v>
      </c>
      <c r="BH29" s="1" t="str">
        <f t="shared" si="15"/>
        <v>NO</v>
      </c>
      <c r="BK29" s="1" t="str">
        <f t="shared" si="16"/>
        <v>NO</v>
      </c>
      <c r="BN29" s="1" t="str">
        <f t="shared" si="17"/>
        <v>NO</v>
      </c>
    </row>
    <row r="30" spans="1:66">
      <c r="A30" s="9">
        <v>26</v>
      </c>
      <c r="B30" s="46" t="s">
        <v>129</v>
      </c>
      <c r="C30" s="3">
        <v>10</v>
      </c>
      <c r="D30" s="3" t="s">
        <v>198</v>
      </c>
      <c r="E30" s="52" t="s">
        <v>235</v>
      </c>
      <c r="F30" s="46" t="str">
        <f t="shared" si="7"/>
        <v/>
      </c>
      <c r="G30" s="3"/>
      <c r="H30" s="63" t="str">
        <f t="shared" si="3"/>
        <v/>
      </c>
      <c r="I30" s="46" t="str">
        <f t="shared" si="8"/>
        <v/>
      </c>
      <c r="J30" s="3"/>
      <c r="K30" s="67" t="str">
        <f t="shared" si="4"/>
        <v/>
      </c>
      <c r="L30" s="46"/>
      <c r="M30" s="3"/>
      <c r="N30" s="3"/>
      <c r="O30" s="52"/>
      <c r="P30" s="1"/>
      <c r="Q30" s="1"/>
      <c r="R30" s="1"/>
      <c r="S30" s="1"/>
      <c r="T30" s="1"/>
      <c r="U30" s="1"/>
      <c r="V30" s="1"/>
      <c r="W30" s="1"/>
      <c r="X30" s="1"/>
      <c r="Y30" s="1"/>
      <c r="Z30" s="1"/>
      <c r="AA30" s="1"/>
      <c r="AB30" s="1"/>
      <c r="AC30" s="1"/>
      <c r="AD30" s="1"/>
      <c r="AE30" s="31"/>
      <c r="AF30" s="1"/>
      <c r="AH30" s="31"/>
      <c r="AJ30" s="3" t="s">
        <v>148</v>
      </c>
      <c r="AM30" s="1" t="str">
        <f t="shared" si="18"/>
        <v>NO</v>
      </c>
      <c r="AP30" s="1" t="str">
        <f t="shared" si="9"/>
        <v>NO</v>
      </c>
      <c r="AS30" s="1" t="str">
        <f t="shared" si="10"/>
        <v>NO</v>
      </c>
      <c r="AV30" s="1" t="str">
        <f t="shared" si="11"/>
        <v>NO</v>
      </c>
      <c r="AY30" s="1" t="str">
        <f t="shared" si="12"/>
        <v>NO</v>
      </c>
      <c r="BB30" s="1" t="str">
        <f t="shared" si="13"/>
        <v>NO</v>
      </c>
      <c r="BE30" s="1" t="str">
        <f t="shared" si="14"/>
        <v>NO</v>
      </c>
      <c r="BH30" s="1" t="str">
        <f t="shared" si="15"/>
        <v>NO</v>
      </c>
      <c r="BK30" s="1" t="str">
        <f t="shared" si="16"/>
        <v>NO</v>
      </c>
      <c r="BN30" s="1" t="str">
        <f t="shared" si="17"/>
        <v>NO</v>
      </c>
    </row>
    <row r="31" spans="1:66">
      <c r="A31" s="90">
        <v>27</v>
      </c>
      <c r="B31" s="47" t="s">
        <v>236</v>
      </c>
      <c r="C31" s="4">
        <v>11</v>
      </c>
      <c r="D31" s="4" t="s">
        <v>198</v>
      </c>
      <c r="E31" s="53" t="s">
        <v>235</v>
      </c>
      <c r="F31" s="47" t="str">
        <f t="shared" si="7"/>
        <v/>
      </c>
      <c r="G31" s="4"/>
      <c r="H31" s="64" t="str">
        <f t="shared" si="3"/>
        <v/>
      </c>
      <c r="I31" s="47" t="str">
        <f t="shared" si="8"/>
        <v/>
      </c>
      <c r="J31" s="4"/>
      <c r="K31" s="64" t="str">
        <f t="shared" si="4"/>
        <v/>
      </c>
      <c r="L31" s="47"/>
      <c r="M31" s="4"/>
      <c r="N31" s="4"/>
      <c r="O31" s="53"/>
      <c r="P31" s="1"/>
      <c r="Q31" s="1"/>
      <c r="R31" s="1"/>
      <c r="S31" s="1"/>
      <c r="T31" s="1"/>
      <c r="U31" s="1"/>
      <c r="V31" s="1"/>
      <c r="W31" s="1"/>
      <c r="X31" s="1"/>
      <c r="Y31" s="1"/>
      <c r="Z31" s="1"/>
      <c r="AA31" s="1"/>
      <c r="AB31" s="1"/>
      <c r="AC31" s="1"/>
      <c r="AD31" s="1"/>
      <c r="AE31" s="31"/>
      <c r="AF31" s="1"/>
      <c r="AH31" s="31"/>
      <c r="AJ31" s="4" t="s">
        <v>212</v>
      </c>
      <c r="AM31" s="1" t="str">
        <f t="shared" si="18"/>
        <v>NO</v>
      </c>
      <c r="AP31" s="1" t="str">
        <f t="shared" si="9"/>
        <v>NO</v>
      </c>
      <c r="AS31" s="1" t="str">
        <f t="shared" si="10"/>
        <v>NO</v>
      </c>
      <c r="AV31" s="1" t="str">
        <f t="shared" si="11"/>
        <v>NO</v>
      </c>
      <c r="AY31" s="1" t="str">
        <f t="shared" si="12"/>
        <v>NO</v>
      </c>
      <c r="BB31" s="1" t="str">
        <f t="shared" si="13"/>
        <v>NO</v>
      </c>
      <c r="BE31" s="1" t="str">
        <f t="shared" si="14"/>
        <v>NO</v>
      </c>
      <c r="BH31" s="1" t="str">
        <f t="shared" si="15"/>
        <v>NO</v>
      </c>
      <c r="BK31" s="1" t="str">
        <f t="shared" si="16"/>
        <v>NO</v>
      </c>
      <c r="BN31" s="1" t="str">
        <f t="shared" si="17"/>
        <v>NO</v>
      </c>
    </row>
    <row r="32" spans="1:66">
      <c r="A32" s="9">
        <v>28</v>
      </c>
      <c r="B32" s="46" t="s">
        <v>237</v>
      </c>
      <c r="C32" s="3">
        <v>11</v>
      </c>
      <c r="D32" s="3" t="s">
        <v>198</v>
      </c>
      <c r="E32" s="52" t="s">
        <v>235</v>
      </c>
      <c r="F32" s="46">
        <f t="shared" si="7"/>
        <v>2</v>
      </c>
      <c r="G32" s="3">
        <v>1</v>
      </c>
      <c r="H32" s="63">
        <f t="shared" si="3"/>
        <v>1</v>
      </c>
      <c r="I32" s="46" t="str">
        <f t="shared" si="8"/>
        <v/>
      </c>
      <c r="J32" s="3"/>
      <c r="K32" s="67" t="str">
        <f t="shared" si="4"/>
        <v/>
      </c>
      <c r="L32" s="46">
        <v>1</v>
      </c>
      <c r="M32" s="3"/>
      <c r="N32" s="3"/>
      <c r="O32" s="52"/>
      <c r="P32" s="1"/>
      <c r="Q32" s="1"/>
      <c r="R32" s="1"/>
      <c r="S32" s="1"/>
      <c r="T32" s="1"/>
      <c r="U32" s="1"/>
      <c r="V32" s="1"/>
      <c r="W32" s="1"/>
      <c r="X32" s="1"/>
      <c r="Y32" s="1"/>
      <c r="Z32" s="1"/>
      <c r="AA32" s="1"/>
      <c r="AB32" s="1"/>
      <c r="AC32" s="1"/>
      <c r="AD32" s="1"/>
      <c r="AE32" s="31"/>
      <c r="AF32" s="1"/>
      <c r="AH32" s="31"/>
      <c r="AJ32" s="3" t="s">
        <v>213</v>
      </c>
      <c r="AM32" s="1" t="str">
        <f t="shared" si="18"/>
        <v>NO</v>
      </c>
      <c r="AP32" s="1" t="str">
        <f t="shared" si="9"/>
        <v>NO</v>
      </c>
      <c r="AS32" s="1" t="str">
        <f t="shared" si="10"/>
        <v>NO</v>
      </c>
      <c r="AV32" s="1" t="str">
        <f t="shared" si="11"/>
        <v>NO</v>
      </c>
      <c r="AY32" s="1" t="str">
        <f t="shared" si="12"/>
        <v>NO</v>
      </c>
      <c r="BB32" s="1" t="str">
        <f t="shared" si="13"/>
        <v>NO</v>
      </c>
      <c r="BE32" s="1" t="str">
        <f t="shared" si="14"/>
        <v>NO</v>
      </c>
      <c r="BH32" s="1" t="str">
        <f t="shared" si="15"/>
        <v>NO</v>
      </c>
      <c r="BK32" s="1" t="str">
        <f t="shared" si="16"/>
        <v>NO</v>
      </c>
      <c r="BN32" s="1" t="str">
        <f t="shared" si="17"/>
        <v>NO</v>
      </c>
    </row>
    <row r="33" spans="1:66">
      <c r="A33" s="90">
        <v>29</v>
      </c>
      <c r="B33" s="47" t="s">
        <v>238</v>
      </c>
      <c r="C33" s="4">
        <v>12</v>
      </c>
      <c r="D33" s="4">
        <f>$X$4+Character!G$96</f>
        <v>20</v>
      </c>
      <c r="E33" s="53" t="s">
        <v>207</v>
      </c>
      <c r="F33" s="47" t="str">
        <f t="shared" si="7"/>
        <v/>
      </c>
      <c r="G33" s="4"/>
      <c r="H33" s="64" t="str">
        <f t="shared" si="3"/>
        <v/>
      </c>
      <c r="I33" s="47" t="str">
        <f t="shared" si="8"/>
        <v/>
      </c>
      <c r="J33" s="4"/>
      <c r="K33" s="64" t="str">
        <f t="shared" si="4"/>
        <v/>
      </c>
      <c r="L33" s="47"/>
      <c r="M33" s="4"/>
      <c r="N33" s="4"/>
      <c r="O33" s="53"/>
      <c r="P33" s="1"/>
      <c r="Q33" s="1"/>
      <c r="R33" s="1"/>
      <c r="S33" s="1"/>
      <c r="T33" s="1"/>
      <c r="U33" s="1"/>
      <c r="V33" s="1"/>
      <c r="W33" s="1"/>
      <c r="X33" s="1"/>
      <c r="Y33" s="1"/>
      <c r="Z33" s="1"/>
      <c r="AA33" s="1"/>
      <c r="AB33" s="1"/>
      <c r="AC33" s="1"/>
      <c r="AD33" s="1"/>
      <c r="AE33" s="31"/>
      <c r="AF33" s="1"/>
      <c r="AH33" s="31"/>
      <c r="AJ33" s="4" t="s">
        <v>214</v>
      </c>
      <c r="AM33" s="1" t="str">
        <f t="shared" si="18"/>
        <v>NO</v>
      </c>
      <c r="AP33" s="1" t="str">
        <f t="shared" si="9"/>
        <v>NO</v>
      </c>
      <c r="AS33" s="1" t="str">
        <f t="shared" si="10"/>
        <v>NO</v>
      </c>
      <c r="AV33" s="1" t="str">
        <f t="shared" si="11"/>
        <v>NO</v>
      </c>
      <c r="AY33" s="1" t="str">
        <f t="shared" si="12"/>
        <v>NO</v>
      </c>
      <c r="BB33" s="1" t="str">
        <f t="shared" si="13"/>
        <v>NO</v>
      </c>
      <c r="BE33" s="1" t="str">
        <f t="shared" si="14"/>
        <v>NO</v>
      </c>
      <c r="BH33" s="1" t="str">
        <f t="shared" si="15"/>
        <v>NO</v>
      </c>
      <c r="BK33" s="1" t="str">
        <f t="shared" si="16"/>
        <v>NO</v>
      </c>
      <c r="BN33" s="1" t="str">
        <f t="shared" si="17"/>
        <v>NO</v>
      </c>
    </row>
    <row r="34" spans="1:66">
      <c r="A34" s="9">
        <v>30</v>
      </c>
      <c r="B34" s="46" t="s">
        <v>239</v>
      </c>
      <c r="C34" s="3">
        <v>11</v>
      </c>
      <c r="D34" s="3" t="s">
        <v>198</v>
      </c>
      <c r="E34" s="52" t="s">
        <v>235</v>
      </c>
      <c r="F34" s="46" t="str">
        <f t="shared" si="7"/>
        <v/>
      </c>
      <c r="G34" s="3"/>
      <c r="H34" s="63" t="str">
        <f t="shared" si="3"/>
        <v/>
      </c>
      <c r="I34" s="46" t="str">
        <f t="shared" si="8"/>
        <v/>
      </c>
      <c r="J34" s="3"/>
      <c r="K34" s="67" t="str">
        <f t="shared" si="4"/>
        <v/>
      </c>
      <c r="L34" s="46"/>
      <c r="M34" s="3"/>
      <c r="N34" s="3"/>
      <c r="O34" s="52"/>
      <c r="P34" s="1"/>
      <c r="Q34" s="1"/>
      <c r="R34" s="1"/>
      <c r="S34" s="1"/>
      <c r="T34" s="1"/>
      <c r="U34" s="1"/>
      <c r="V34" s="1"/>
      <c r="W34" s="1"/>
      <c r="X34" s="1"/>
      <c r="Y34" s="1"/>
      <c r="Z34" s="1"/>
      <c r="AA34" s="1"/>
      <c r="AB34" s="1"/>
      <c r="AC34" s="1"/>
      <c r="AD34" s="1"/>
      <c r="AE34" s="31"/>
      <c r="AF34" s="1"/>
      <c r="AH34" s="31"/>
      <c r="AJ34" s="3" t="s">
        <v>215</v>
      </c>
      <c r="AM34" s="1" t="str">
        <f t="shared" si="18"/>
        <v>NO</v>
      </c>
      <c r="AP34" s="1" t="str">
        <f t="shared" si="9"/>
        <v>NO</v>
      </c>
      <c r="AS34" s="1" t="str">
        <f t="shared" si="10"/>
        <v>NO</v>
      </c>
      <c r="AV34" s="1" t="str">
        <f t="shared" si="11"/>
        <v>NO</v>
      </c>
      <c r="AY34" s="1" t="str">
        <f t="shared" si="12"/>
        <v>NO</v>
      </c>
      <c r="BB34" s="1" t="str">
        <f t="shared" si="13"/>
        <v>NO</v>
      </c>
      <c r="BE34" s="1" t="str">
        <f t="shared" si="14"/>
        <v>NO</v>
      </c>
      <c r="BH34" s="1" t="str">
        <f t="shared" si="15"/>
        <v>NO</v>
      </c>
      <c r="BK34" s="1" t="str">
        <f t="shared" si="16"/>
        <v>NO</v>
      </c>
      <c r="BN34" s="1" t="str">
        <f t="shared" si="17"/>
        <v>NO</v>
      </c>
    </row>
    <row r="35" spans="1:66">
      <c r="A35" s="90">
        <v>31</v>
      </c>
      <c r="B35" s="47" t="s">
        <v>240</v>
      </c>
      <c r="C35" s="4">
        <v>13</v>
      </c>
      <c r="D35" s="4" t="s">
        <v>198</v>
      </c>
      <c r="E35" s="53" t="s">
        <v>202</v>
      </c>
      <c r="F35" s="47">
        <f t="shared" si="7"/>
        <v>4</v>
      </c>
      <c r="G35" s="4">
        <v>1</v>
      </c>
      <c r="H35" s="64">
        <f t="shared" si="3"/>
        <v>3</v>
      </c>
      <c r="I35" s="47" t="str">
        <f t="shared" si="8"/>
        <v/>
      </c>
      <c r="J35" s="4"/>
      <c r="K35" s="64" t="str">
        <f t="shared" si="4"/>
        <v/>
      </c>
      <c r="L35" s="47">
        <v>2</v>
      </c>
      <c r="M35" s="4"/>
      <c r="N35" s="4"/>
      <c r="O35" s="53"/>
      <c r="P35" s="1"/>
      <c r="AE35" s="32"/>
      <c r="AH35" s="32"/>
      <c r="AJ35" s="8" t="s">
        <v>217</v>
      </c>
      <c r="AM35" s="1" t="str">
        <f t="shared" si="18"/>
        <v>NO</v>
      </c>
      <c r="AP35" s="1" t="str">
        <f t="shared" si="9"/>
        <v>NO</v>
      </c>
      <c r="AS35" s="1" t="str">
        <f t="shared" si="10"/>
        <v>NO</v>
      </c>
      <c r="AV35" s="1" t="str">
        <f t="shared" si="11"/>
        <v>NO</v>
      </c>
      <c r="AY35" s="1" t="str">
        <f t="shared" si="12"/>
        <v>NO</v>
      </c>
      <c r="BB35" s="1" t="str">
        <f t="shared" si="13"/>
        <v>NO</v>
      </c>
      <c r="BE35" s="1" t="str">
        <f t="shared" si="14"/>
        <v>NO</v>
      </c>
      <c r="BH35" s="1" t="str">
        <f t="shared" si="15"/>
        <v>NO</v>
      </c>
      <c r="BK35" s="1" t="str">
        <f t="shared" si="16"/>
        <v>NO</v>
      </c>
      <c r="BN35" s="1" t="str">
        <f t="shared" si="17"/>
        <v>NO</v>
      </c>
    </row>
    <row r="36" spans="1:66">
      <c r="A36" s="9">
        <v>32</v>
      </c>
      <c r="B36" s="46" t="s">
        <v>241</v>
      </c>
      <c r="C36" s="3">
        <v>13</v>
      </c>
      <c r="D36" s="3">
        <f>$X$4+Character!G$96</f>
        <v>20</v>
      </c>
      <c r="E36" s="52" t="s">
        <v>207</v>
      </c>
      <c r="F36" s="46" t="str">
        <f t="shared" si="7"/>
        <v/>
      </c>
      <c r="G36" s="3"/>
      <c r="H36" s="63" t="str">
        <f t="shared" si="3"/>
        <v/>
      </c>
      <c r="I36" s="46" t="str">
        <f t="shared" si="8"/>
        <v/>
      </c>
      <c r="J36" s="3"/>
      <c r="K36" s="67" t="str">
        <f t="shared" si="4"/>
        <v/>
      </c>
      <c r="L36" s="46"/>
      <c r="M36" s="3"/>
      <c r="N36" s="3"/>
      <c r="O36" s="52"/>
      <c r="P36" s="1"/>
      <c r="AE36" s="32"/>
      <c r="AH36" s="32"/>
      <c r="AJ36" s="8" t="s">
        <v>219</v>
      </c>
      <c r="AM36" s="1" t="str">
        <f t="shared" si="18"/>
        <v>NO</v>
      </c>
      <c r="AP36" s="1" t="str">
        <f t="shared" si="9"/>
        <v>NO</v>
      </c>
      <c r="AS36" s="1" t="str">
        <f t="shared" si="10"/>
        <v>NO</v>
      </c>
      <c r="AV36" s="1" t="str">
        <f t="shared" si="11"/>
        <v>NO</v>
      </c>
      <c r="AY36" s="1" t="str">
        <f t="shared" si="12"/>
        <v>NO</v>
      </c>
      <c r="BB36" s="1" t="str">
        <f t="shared" si="13"/>
        <v>NO</v>
      </c>
      <c r="BE36" s="1" t="str">
        <f t="shared" si="14"/>
        <v>NO</v>
      </c>
      <c r="BH36" s="1" t="str">
        <f t="shared" si="15"/>
        <v>NO</v>
      </c>
      <c r="BK36" s="1" t="str">
        <f t="shared" si="16"/>
        <v>NO</v>
      </c>
      <c r="BN36" s="1" t="str">
        <f t="shared" si="17"/>
        <v>NO</v>
      </c>
    </row>
    <row r="37" spans="1:66">
      <c r="A37" s="91">
        <v>33</v>
      </c>
      <c r="B37" s="55" t="s">
        <v>242</v>
      </c>
      <c r="C37" s="56">
        <v>11</v>
      </c>
      <c r="D37" s="56" t="s">
        <v>198</v>
      </c>
      <c r="E37" s="57" t="s">
        <v>235</v>
      </c>
      <c r="F37" s="55" t="str">
        <f t="shared" si="7"/>
        <v/>
      </c>
      <c r="G37" s="56"/>
      <c r="H37" s="65" t="str">
        <f t="shared" si="3"/>
        <v/>
      </c>
      <c r="I37" s="47" t="str">
        <f t="shared" si="8"/>
        <v/>
      </c>
      <c r="J37" s="4"/>
      <c r="K37" s="64" t="str">
        <f t="shared" si="4"/>
        <v/>
      </c>
      <c r="L37" s="47"/>
      <c r="M37" s="4"/>
      <c r="N37" s="4"/>
      <c r="O37" s="53"/>
      <c r="AE37" s="32"/>
      <c r="AH37" s="32"/>
      <c r="AJ37" s="4" t="s">
        <v>224</v>
      </c>
      <c r="AM37" s="1" t="str">
        <f t="shared" si="18"/>
        <v>NO</v>
      </c>
      <c r="AP37" s="1" t="str">
        <f t="shared" si="9"/>
        <v>NO</v>
      </c>
      <c r="AS37" s="1" t="str">
        <f t="shared" si="10"/>
        <v>NO</v>
      </c>
      <c r="AV37" s="1" t="str">
        <f t="shared" si="11"/>
        <v>NO</v>
      </c>
      <c r="AY37" s="1" t="str">
        <f t="shared" si="12"/>
        <v>NO</v>
      </c>
      <c r="BB37" s="1" t="str">
        <f t="shared" si="13"/>
        <v>NO</v>
      </c>
      <c r="BE37" s="1" t="str">
        <f t="shared" si="14"/>
        <v>NO</v>
      </c>
      <c r="BH37" s="1" t="str">
        <f t="shared" si="15"/>
        <v>NO</v>
      </c>
      <c r="BK37" s="1" t="str">
        <f t="shared" si="16"/>
        <v>NO</v>
      </c>
      <c r="BN37" s="1" t="str">
        <f t="shared" si="17"/>
        <v>NO</v>
      </c>
    </row>
    <row r="38" spans="1:66">
      <c r="A38" s="96">
        <v>34</v>
      </c>
      <c r="B38" s="97" t="s">
        <v>243</v>
      </c>
      <c r="C38" s="95">
        <v>14</v>
      </c>
      <c r="D38" s="95">
        <f>20+Character!G96</f>
        <v>21</v>
      </c>
      <c r="E38" s="98" t="s">
        <v>207</v>
      </c>
      <c r="F38" s="97">
        <f t="shared" si="7"/>
        <v>3</v>
      </c>
      <c r="G38" s="95">
        <v>3</v>
      </c>
      <c r="H38" s="99">
        <f t="shared" si="3"/>
        <v>0</v>
      </c>
      <c r="I38" s="97" t="str">
        <f t="shared" si="8"/>
        <v/>
      </c>
      <c r="J38" s="95"/>
      <c r="K38" s="100" t="str">
        <f t="shared" si="4"/>
        <v/>
      </c>
      <c r="L38" s="97">
        <v>1</v>
      </c>
      <c r="M38" s="95"/>
      <c r="N38" s="95"/>
      <c r="O38" s="98"/>
      <c r="AE38" s="32"/>
      <c r="AH38" s="32"/>
      <c r="AJ38" s="3" t="s">
        <v>226</v>
      </c>
      <c r="AM38" s="1" t="str">
        <f t="shared" si="18"/>
        <v>NO</v>
      </c>
      <c r="AP38" s="1" t="str">
        <f t="shared" si="9"/>
        <v>NO</v>
      </c>
      <c r="AS38" s="1" t="str">
        <f t="shared" si="10"/>
        <v>NO</v>
      </c>
      <c r="AV38" s="1" t="str">
        <f t="shared" si="11"/>
        <v>NO</v>
      </c>
      <c r="AY38" s="1" t="str">
        <f t="shared" si="12"/>
        <v>NO</v>
      </c>
      <c r="BB38" s="1" t="str">
        <f t="shared" si="13"/>
        <v>NO</v>
      </c>
      <c r="BE38" s="1" t="str">
        <f t="shared" si="14"/>
        <v>NO</v>
      </c>
      <c r="BH38" s="1" t="str">
        <f t="shared" si="15"/>
        <v>NO</v>
      </c>
      <c r="BK38" s="1" t="str">
        <f t="shared" si="16"/>
        <v>NO</v>
      </c>
      <c r="BN38" s="1" t="str">
        <f t="shared" si="17"/>
        <v>NO</v>
      </c>
    </row>
    <row r="39" spans="1:66">
      <c r="A39" s="91">
        <v>35</v>
      </c>
      <c r="B39" s="55" t="s">
        <v>244</v>
      </c>
      <c r="C39" s="56">
        <v>15</v>
      </c>
      <c r="D39" s="56">
        <f>21+Character!G96</f>
        <v>22</v>
      </c>
      <c r="E39" s="57" t="s">
        <v>207</v>
      </c>
      <c r="F39" s="55" t="str">
        <f t="shared" ref="F39:F40" si="19">IF(L39="","",IF(E39="Poison",L39*3+M39*1,L39*2+M39*1))</f>
        <v/>
      </c>
      <c r="G39" s="56"/>
      <c r="H39" s="65" t="str">
        <f t="shared" ref="H39:H40" si="20">IF(F39="","",F39-G39)</f>
        <v/>
      </c>
      <c r="I39" s="47" t="str">
        <f t="shared" ref="I39:I40" si="21">IF(N39="","",N39)</f>
        <v/>
      </c>
      <c r="J39" s="4"/>
      <c r="K39" s="64" t="str">
        <f t="shared" ref="K39:K40" si="22">IF(I39="","",I39-J39)</f>
        <v/>
      </c>
      <c r="L39" s="47"/>
      <c r="M39" s="4"/>
      <c r="N39" s="4"/>
      <c r="O39" s="53"/>
      <c r="AE39" s="32"/>
      <c r="AH39" s="32"/>
      <c r="AJ39" s="4" t="s">
        <v>228</v>
      </c>
      <c r="AM39" s="1" t="str">
        <f t="shared" ref="AM39:AM50" si="23">IF(AK39="","NO",IF(AK39=$AF$4,"YES",IF($AF$4-AK39=1,IF(INDEX($AG$4:$AI$13,$AF$4,3)="OK","NO","YES"),"NO")))</f>
        <v>NO</v>
      </c>
      <c r="AP39" s="1" t="str">
        <f t="shared" ref="AP39:AP50" si="24">IF(AN39="","NO",IF(AN39=$AF$4,"YES",IF($AF$4-AN39=1,IF(INDEX($AG$4:$AI$13,$AF$4,3)="OK","NO","YES"),"NO")))</f>
        <v>NO</v>
      </c>
      <c r="AS39" s="1" t="str">
        <f t="shared" ref="AS39:AS50" si="25">IF(AQ39="","NO",IF(AQ39=$AF$4,"YES",IF($AF$4-AQ39=1,IF(INDEX($AG$4:$AI$13,$AF$4,3)="OK","NO","YES"),"NO")))</f>
        <v>NO</v>
      </c>
      <c r="AV39" s="1" t="str">
        <f t="shared" ref="AV39:AV50" si="26">IF(AT39="","NO",IF(AT39=$AF$4,"YES",IF($AF$4-AT39=1,IF(INDEX($AG$4:$AI$13,$AF$4,3)="OK","NO","YES"),"NO")))</f>
        <v>NO</v>
      </c>
      <c r="AY39" s="1" t="str">
        <f t="shared" ref="AY39:AY50" si="27">IF(AW39="","NO",IF(AW39=$AF$4,"YES",IF($AF$4-AW39=1,IF(INDEX($AG$4:$AI$13,$AF$4,3)="OK","NO","YES"),"NO")))</f>
        <v>NO</v>
      </c>
      <c r="BB39" s="1" t="str">
        <f t="shared" ref="BB39:BB50" si="28">IF(AZ39="","NO",IF(AZ39=$AF$4,"YES",IF($AF$4-AZ39=1,IF(INDEX($AG$4:$AI$13,$AF$4,3)="OK","NO","YES"),"NO")))</f>
        <v>NO</v>
      </c>
      <c r="BE39" s="1" t="str">
        <f t="shared" ref="BE39:BE50" si="29">IF(BC39="","NO",IF(BC39=$AF$4,"YES",IF($AF$4-BC39=1,IF(INDEX($AG$4:$AI$13,$AF$4,3)="OK","NO","YES"),"NO")))</f>
        <v>NO</v>
      </c>
      <c r="BH39" s="1" t="str">
        <f t="shared" ref="BH39:BH50" si="30">IF(BF39="","NO",IF(BF39=$AF$4,"YES",IF($AF$4-BF39=1,IF(INDEX($AG$4:$AI$13,$AF$4,3)="OK","NO","YES"),"NO")))</f>
        <v>NO</v>
      </c>
      <c r="BK39" s="1" t="str">
        <f t="shared" ref="BK39:BK50" si="31">IF(BI39="","NO",IF(BI39=$AF$4,"YES",IF($AF$4-BI39=1,IF(INDEX($AG$4:$AI$13,$AF$4,3)="OK","NO","YES"),"NO")))</f>
        <v>NO</v>
      </c>
      <c r="BN39" s="1" t="str">
        <f t="shared" ref="BN39:BN50" si="32">IF(BL39="","NO",IF(BL39=$AF$4,"YES",IF($AF$4-BL39=1,IF(INDEX($AG$4:$AI$13,$AF$4,3)="OK","NO","YES"),"NO")))</f>
        <v>NO</v>
      </c>
    </row>
    <row r="40" spans="1:66" ht="15" thickBot="1">
      <c r="A40" s="92">
        <v>36</v>
      </c>
      <c r="B40" s="58" t="s">
        <v>245</v>
      </c>
      <c r="C40" s="59">
        <v>15</v>
      </c>
      <c r="D40" s="59">
        <f>21+Character!G96</f>
        <v>22</v>
      </c>
      <c r="E40" s="60" t="s">
        <v>207</v>
      </c>
      <c r="F40" s="58" t="str">
        <f t="shared" si="19"/>
        <v/>
      </c>
      <c r="G40" s="59"/>
      <c r="H40" s="66" t="str">
        <f t="shared" si="20"/>
        <v/>
      </c>
      <c r="I40" s="58" t="str">
        <f t="shared" si="21"/>
        <v/>
      </c>
      <c r="J40" s="59"/>
      <c r="K40" s="68" t="str">
        <f t="shared" si="22"/>
        <v/>
      </c>
      <c r="L40" s="58"/>
      <c r="M40" s="59"/>
      <c r="N40" s="59"/>
      <c r="O40" s="60"/>
      <c r="AE40" s="32"/>
      <c r="AH40" s="32"/>
      <c r="AJ40" s="3" t="s">
        <v>229</v>
      </c>
      <c r="AM40" s="1" t="str">
        <f t="shared" si="23"/>
        <v>NO</v>
      </c>
      <c r="AP40" s="1" t="str">
        <f t="shared" si="24"/>
        <v>NO</v>
      </c>
      <c r="AS40" s="1" t="str">
        <f t="shared" si="25"/>
        <v>NO</v>
      </c>
      <c r="AV40" s="1" t="str">
        <f t="shared" si="26"/>
        <v>NO</v>
      </c>
      <c r="AY40" s="1" t="str">
        <f t="shared" si="27"/>
        <v>NO</v>
      </c>
      <c r="BB40" s="1" t="str">
        <f t="shared" si="28"/>
        <v>NO</v>
      </c>
      <c r="BE40" s="1" t="str">
        <f t="shared" si="29"/>
        <v>NO</v>
      </c>
      <c r="BH40" s="1" t="str">
        <f t="shared" si="30"/>
        <v>NO</v>
      </c>
      <c r="BK40" s="1" t="str">
        <f t="shared" si="31"/>
        <v>NO</v>
      </c>
      <c r="BN40" s="1" t="str">
        <f t="shared" si="32"/>
        <v>NO</v>
      </c>
    </row>
    <row r="41" spans="1:66" ht="15" thickTop="1">
      <c r="AE41" s="32"/>
      <c r="AH41" s="32"/>
      <c r="AJ41" s="4" t="s">
        <v>230</v>
      </c>
      <c r="AM41" s="1" t="str">
        <f t="shared" si="23"/>
        <v>NO</v>
      </c>
      <c r="AP41" s="1" t="str">
        <f t="shared" si="24"/>
        <v>NO</v>
      </c>
      <c r="AS41" s="1" t="str">
        <f t="shared" si="25"/>
        <v>NO</v>
      </c>
      <c r="AV41" s="1" t="str">
        <f t="shared" si="26"/>
        <v>NO</v>
      </c>
      <c r="AY41" s="1" t="str">
        <f t="shared" si="27"/>
        <v>NO</v>
      </c>
      <c r="BB41" s="1" t="str">
        <f t="shared" si="28"/>
        <v>NO</v>
      </c>
      <c r="BE41" s="1" t="str">
        <f t="shared" si="29"/>
        <v>NO</v>
      </c>
      <c r="BH41" s="1" t="str">
        <f t="shared" si="30"/>
        <v>NO</v>
      </c>
      <c r="BK41" s="1" t="str">
        <f t="shared" si="31"/>
        <v>NO</v>
      </c>
      <c r="BN41" s="1" t="str">
        <f t="shared" si="32"/>
        <v>NO</v>
      </c>
    </row>
    <row r="42" spans="1:66">
      <c r="AE42" s="32"/>
      <c r="AH42" s="32"/>
      <c r="AJ42" s="3" t="s">
        <v>231</v>
      </c>
      <c r="AM42" s="1" t="str">
        <f t="shared" si="23"/>
        <v>NO</v>
      </c>
      <c r="AP42" s="1" t="str">
        <f t="shared" si="24"/>
        <v>NO</v>
      </c>
      <c r="AS42" s="1" t="str">
        <f t="shared" si="25"/>
        <v>NO</v>
      </c>
      <c r="AV42" s="1" t="str">
        <f t="shared" si="26"/>
        <v>NO</v>
      </c>
      <c r="AY42" s="1" t="str">
        <f t="shared" si="27"/>
        <v>NO</v>
      </c>
      <c r="BB42" s="1" t="str">
        <f t="shared" si="28"/>
        <v>NO</v>
      </c>
      <c r="BE42" s="1" t="str">
        <f t="shared" si="29"/>
        <v>NO</v>
      </c>
      <c r="BH42" s="1" t="str">
        <f t="shared" si="30"/>
        <v>NO</v>
      </c>
      <c r="BK42" s="1" t="str">
        <f t="shared" si="31"/>
        <v>NO</v>
      </c>
      <c r="BN42" s="1" t="str">
        <f t="shared" si="32"/>
        <v>NO</v>
      </c>
    </row>
    <row r="43" spans="1:66">
      <c r="AE43" s="32"/>
      <c r="AH43" s="32"/>
      <c r="AJ43" s="4" t="s">
        <v>232</v>
      </c>
      <c r="AM43" s="1" t="str">
        <f t="shared" si="23"/>
        <v>NO</v>
      </c>
      <c r="AP43" s="1" t="str">
        <f t="shared" si="24"/>
        <v>NO</v>
      </c>
      <c r="AS43" s="1" t="str">
        <f t="shared" si="25"/>
        <v>NO</v>
      </c>
      <c r="AV43" s="1" t="str">
        <f t="shared" si="26"/>
        <v>NO</v>
      </c>
      <c r="AY43" s="1" t="str">
        <f t="shared" si="27"/>
        <v>NO</v>
      </c>
      <c r="BB43" s="1" t="str">
        <f t="shared" si="28"/>
        <v>NO</v>
      </c>
      <c r="BE43" s="1" t="str">
        <f t="shared" si="29"/>
        <v>NO</v>
      </c>
      <c r="BH43" s="1" t="str">
        <f t="shared" si="30"/>
        <v>NO</v>
      </c>
      <c r="BK43" s="1" t="str">
        <f t="shared" si="31"/>
        <v>NO</v>
      </c>
      <c r="BN43" s="1" t="str">
        <f t="shared" si="32"/>
        <v>NO</v>
      </c>
    </row>
    <row r="44" spans="1:66">
      <c r="AE44" s="32"/>
      <c r="AH44" s="32"/>
      <c r="AJ44" s="3" t="s">
        <v>233</v>
      </c>
      <c r="AM44" s="1" t="str">
        <f t="shared" si="23"/>
        <v>NO</v>
      </c>
      <c r="AP44" s="1" t="str">
        <f t="shared" si="24"/>
        <v>NO</v>
      </c>
      <c r="AS44" s="1" t="str">
        <f t="shared" si="25"/>
        <v>NO</v>
      </c>
      <c r="AV44" s="1" t="str">
        <f t="shared" si="26"/>
        <v>NO</v>
      </c>
      <c r="AY44" s="1" t="str">
        <f t="shared" si="27"/>
        <v>NO</v>
      </c>
      <c r="BB44" s="1" t="str">
        <f t="shared" si="28"/>
        <v>NO</v>
      </c>
      <c r="BE44" s="1" t="str">
        <f t="shared" si="29"/>
        <v>NO</v>
      </c>
      <c r="BH44" s="1" t="str">
        <f t="shared" si="30"/>
        <v>NO</v>
      </c>
      <c r="BK44" s="1" t="str">
        <f t="shared" si="31"/>
        <v>NO</v>
      </c>
      <c r="BN44" s="1" t="str">
        <f t="shared" si="32"/>
        <v>NO</v>
      </c>
    </row>
    <row r="45" spans="1:66">
      <c r="AE45" s="32"/>
      <c r="AH45" s="32"/>
      <c r="AJ45" s="4" t="s">
        <v>234</v>
      </c>
      <c r="AM45" s="1" t="str">
        <f t="shared" si="23"/>
        <v>NO</v>
      </c>
      <c r="AP45" s="1" t="str">
        <f t="shared" si="24"/>
        <v>NO</v>
      </c>
      <c r="AS45" s="1" t="str">
        <f t="shared" si="25"/>
        <v>NO</v>
      </c>
      <c r="AV45" s="1" t="str">
        <f t="shared" si="26"/>
        <v>NO</v>
      </c>
      <c r="AY45" s="1" t="str">
        <f t="shared" si="27"/>
        <v>NO</v>
      </c>
      <c r="BB45" s="1" t="str">
        <f t="shared" si="28"/>
        <v>NO</v>
      </c>
      <c r="BE45" s="1" t="str">
        <f t="shared" si="29"/>
        <v>NO</v>
      </c>
      <c r="BH45" s="1" t="str">
        <f t="shared" si="30"/>
        <v>NO</v>
      </c>
      <c r="BK45" s="1" t="str">
        <f t="shared" si="31"/>
        <v>NO</v>
      </c>
      <c r="BN45" s="1" t="str">
        <f t="shared" si="32"/>
        <v>NO</v>
      </c>
    </row>
    <row r="46" spans="1:66">
      <c r="AE46" s="32"/>
      <c r="AH46" s="32"/>
      <c r="AJ46" s="3" t="s">
        <v>129</v>
      </c>
      <c r="AM46" s="1" t="str">
        <f t="shared" si="23"/>
        <v>NO</v>
      </c>
      <c r="AP46" s="1" t="str">
        <f t="shared" si="24"/>
        <v>NO</v>
      </c>
      <c r="AS46" s="1" t="str">
        <f t="shared" si="25"/>
        <v>NO</v>
      </c>
      <c r="AV46" s="1" t="str">
        <f t="shared" si="26"/>
        <v>NO</v>
      </c>
      <c r="AY46" s="1" t="str">
        <f t="shared" si="27"/>
        <v>NO</v>
      </c>
      <c r="BB46" s="1" t="str">
        <f t="shared" si="28"/>
        <v>NO</v>
      </c>
      <c r="BE46" s="1" t="str">
        <f t="shared" si="29"/>
        <v>NO</v>
      </c>
      <c r="BH46" s="1" t="str">
        <f t="shared" si="30"/>
        <v>NO</v>
      </c>
      <c r="BK46" s="1" t="str">
        <f t="shared" si="31"/>
        <v>NO</v>
      </c>
      <c r="BN46" s="1" t="str">
        <f t="shared" si="32"/>
        <v>NO</v>
      </c>
    </row>
    <row r="47" spans="1:66">
      <c r="AE47" s="32"/>
      <c r="AH47" s="32"/>
      <c r="AJ47" s="4" t="s">
        <v>236</v>
      </c>
      <c r="AM47" s="1" t="str">
        <f t="shared" si="23"/>
        <v>NO</v>
      </c>
      <c r="AP47" s="1" t="str">
        <f t="shared" si="24"/>
        <v>NO</v>
      </c>
      <c r="AS47" s="1" t="str">
        <f t="shared" si="25"/>
        <v>NO</v>
      </c>
      <c r="AV47" s="1" t="str">
        <f t="shared" si="26"/>
        <v>NO</v>
      </c>
      <c r="AY47" s="1" t="str">
        <f t="shared" si="27"/>
        <v>NO</v>
      </c>
      <c r="BB47" s="1" t="str">
        <f t="shared" si="28"/>
        <v>NO</v>
      </c>
      <c r="BE47" s="1" t="str">
        <f t="shared" si="29"/>
        <v>NO</v>
      </c>
      <c r="BH47" s="1" t="str">
        <f t="shared" si="30"/>
        <v>NO</v>
      </c>
      <c r="BK47" s="1" t="str">
        <f t="shared" si="31"/>
        <v>NO</v>
      </c>
      <c r="BN47" s="1" t="str">
        <f t="shared" si="32"/>
        <v>NO</v>
      </c>
    </row>
    <row r="48" spans="1:66">
      <c r="AE48" s="32"/>
      <c r="AH48" s="32"/>
      <c r="AJ48" s="3" t="s">
        <v>237</v>
      </c>
      <c r="AM48" s="1" t="str">
        <f t="shared" si="23"/>
        <v>NO</v>
      </c>
      <c r="AP48" s="1" t="str">
        <f t="shared" si="24"/>
        <v>NO</v>
      </c>
      <c r="AS48" s="1" t="str">
        <f t="shared" si="25"/>
        <v>NO</v>
      </c>
      <c r="AV48" s="1" t="str">
        <f t="shared" si="26"/>
        <v>NO</v>
      </c>
      <c r="AY48" s="1" t="str">
        <f t="shared" si="27"/>
        <v>NO</v>
      </c>
      <c r="BB48" s="1" t="str">
        <f t="shared" si="28"/>
        <v>NO</v>
      </c>
      <c r="BE48" s="1" t="str">
        <f t="shared" si="29"/>
        <v>NO</v>
      </c>
      <c r="BH48" s="1" t="str">
        <f t="shared" si="30"/>
        <v>NO</v>
      </c>
      <c r="BK48" s="1" t="str">
        <f t="shared" si="31"/>
        <v>NO</v>
      </c>
      <c r="BN48" s="1" t="str">
        <f t="shared" si="32"/>
        <v>NO</v>
      </c>
    </row>
    <row r="49" spans="1:66">
      <c r="AE49" s="32"/>
      <c r="AH49" s="32"/>
      <c r="AJ49" s="4" t="s">
        <v>238</v>
      </c>
      <c r="AM49" s="1" t="str">
        <f t="shared" si="23"/>
        <v>NO</v>
      </c>
      <c r="AP49" s="1" t="str">
        <f t="shared" si="24"/>
        <v>NO</v>
      </c>
      <c r="AS49" s="1" t="str">
        <f t="shared" si="25"/>
        <v>NO</v>
      </c>
      <c r="AV49" s="1" t="str">
        <f t="shared" si="26"/>
        <v>NO</v>
      </c>
      <c r="AY49" s="1" t="str">
        <f t="shared" si="27"/>
        <v>NO</v>
      </c>
      <c r="BB49" s="1" t="str">
        <f t="shared" si="28"/>
        <v>NO</v>
      </c>
      <c r="BE49" s="1" t="str">
        <f t="shared" si="29"/>
        <v>NO</v>
      </c>
      <c r="BH49" s="1" t="str">
        <f t="shared" si="30"/>
        <v>NO</v>
      </c>
      <c r="BK49" s="1" t="str">
        <f t="shared" si="31"/>
        <v>NO</v>
      </c>
      <c r="BN49" s="1" t="str">
        <f t="shared" si="32"/>
        <v>NO</v>
      </c>
    </row>
    <row r="50" spans="1:66">
      <c r="AE50" s="32"/>
      <c r="AH50" s="32"/>
      <c r="AJ50" s="3" t="s">
        <v>239</v>
      </c>
      <c r="AM50" s="1" t="str">
        <f t="shared" si="23"/>
        <v>NO</v>
      </c>
      <c r="AP50" s="1" t="str">
        <f t="shared" si="24"/>
        <v>NO</v>
      </c>
      <c r="AS50" s="1" t="str">
        <f t="shared" si="25"/>
        <v>NO</v>
      </c>
      <c r="AV50" s="1" t="str">
        <f t="shared" si="26"/>
        <v>NO</v>
      </c>
      <c r="AY50" s="1" t="str">
        <f t="shared" si="27"/>
        <v>NO</v>
      </c>
      <c r="BB50" s="1" t="str">
        <f t="shared" si="28"/>
        <v>NO</v>
      </c>
      <c r="BE50" s="1" t="str">
        <f t="shared" si="29"/>
        <v>NO</v>
      </c>
      <c r="BH50" s="1" t="str">
        <f t="shared" si="30"/>
        <v>NO</v>
      </c>
      <c r="BK50" s="1" t="str">
        <f t="shared" si="31"/>
        <v>NO</v>
      </c>
      <c r="BN50" s="1" t="str">
        <f t="shared" si="32"/>
        <v>NO</v>
      </c>
    </row>
    <row r="51" spans="1:66">
      <c r="AE51" s="32"/>
      <c r="AH51" s="32"/>
      <c r="AJ51" s="4" t="s">
        <v>240</v>
      </c>
      <c r="AM51" s="1" t="str">
        <f t="shared" si="18"/>
        <v>NO</v>
      </c>
      <c r="AP51" s="1" t="str">
        <f t="shared" si="9"/>
        <v>NO</v>
      </c>
      <c r="AS51" s="1" t="str">
        <f t="shared" si="10"/>
        <v>NO</v>
      </c>
      <c r="AV51" s="1" t="str">
        <f t="shared" si="11"/>
        <v>NO</v>
      </c>
      <c r="AY51" s="1" t="str">
        <f t="shared" si="12"/>
        <v>NO</v>
      </c>
      <c r="BB51" s="1" t="str">
        <f t="shared" si="13"/>
        <v>NO</v>
      </c>
      <c r="BE51" s="1" t="str">
        <f t="shared" si="14"/>
        <v>NO</v>
      </c>
      <c r="BH51" s="1" t="str">
        <f t="shared" si="15"/>
        <v>NO</v>
      </c>
      <c r="BK51" s="1" t="str">
        <f t="shared" si="16"/>
        <v>NO</v>
      </c>
      <c r="BN51" s="1" t="str">
        <f t="shared" si="17"/>
        <v>NO</v>
      </c>
    </row>
    <row r="52" spans="1:66">
      <c r="AE52" s="32"/>
      <c r="AH52" s="32"/>
      <c r="AJ52" s="3" t="s">
        <v>241</v>
      </c>
      <c r="AM52" s="1" t="str">
        <f t="shared" si="18"/>
        <v>NO</v>
      </c>
      <c r="AP52" s="1" t="str">
        <f t="shared" si="9"/>
        <v>NO</v>
      </c>
      <c r="AS52" s="1" t="str">
        <f t="shared" si="10"/>
        <v>NO</v>
      </c>
      <c r="AV52" s="1" t="str">
        <f t="shared" si="11"/>
        <v>NO</v>
      </c>
      <c r="AY52" s="1" t="str">
        <f t="shared" si="12"/>
        <v>NO</v>
      </c>
      <c r="BB52" s="1" t="str">
        <f t="shared" si="13"/>
        <v>NO</v>
      </c>
      <c r="BE52" s="1" t="str">
        <f t="shared" si="14"/>
        <v>NO</v>
      </c>
      <c r="BH52" s="1" t="str">
        <f t="shared" si="15"/>
        <v>NO</v>
      </c>
      <c r="BK52" s="1" t="str">
        <f t="shared" si="16"/>
        <v>NO</v>
      </c>
      <c r="BN52" s="1" t="str">
        <f t="shared" si="17"/>
        <v>NO</v>
      </c>
    </row>
    <row r="53" spans="1:66">
      <c r="B53" s="34" t="s">
        <v>246</v>
      </c>
      <c r="C53" s="179" t="s">
        <v>207</v>
      </c>
      <c r="D53" s="179"/>
      <c r="E53" s="179"/>
      <c r="F53" s="179"/>
      <c r="G53" s="34" t="s">
        <v>247</v>
      </c>
      <c r="H53" s="176" t="s">
        <v>45</v>
      </c>
      <c r="I53" s="177"/>
      <c r="J53" s="178"/>
      <c r="K53" s="34" t="s">
        <v>221</v>
      </c>
      <c r="AE53" s="32"/>
      <c r="AH53" s="32"/>
      <c r="AJ53" s="4" t="s">
        <v>242</v>
      </c>
      <c r="AM53" s="1" t="str">
        <f t="shared" si="18"/>
        <v>NO</v>
      </c>
      <c r="AP53" s="1" t="str">
        <f t="shared" si="9"/>
        <v>NO</v>
      </c>
      <c r="AS53" s="1" t="str">
        <f t="shared" si="10"/>
        <v>NO</v>
      </c>
      <c r="AV53" s="1" t="str">
        <f t="shared" si="11"/>
        <v>NO</v>
      </c>
      <c r="AY53" s="1" t="str">
        <f t="shared" si="12"/>
        <v>NO</v>
      </c>
      <c r="BB53" s="1" t="str">
        <f t="shared" si="13"/>
        <v>NO</v>
      </c>
      <c r="BE53" s="1" t="str">
        <f t="shared" si="14"/>
        <v>NO</v>
      </c>
      <c r="BH53" s="1" t="str">
        <f t="shared" si="15"/>
        <v>NO</v>
      </c>
      <c r="BK53" s="1" t="str">
        <f t="shared" si="16"/>
        <v>NO</v>
      </c>
      <c r="BN53" s="1" t="str">
        <f t="shared" si="17"/>
        <v>NO</v>
      </c>
    </row>
    <row r="54" spans="1:66">
      <c r="A54" s="76"/>
      <c r="B54" s="119"/>
      <c r="C54" s="119"/>
      <c r="D54" s="119"/>
      <c r="E54" s="119"/>
      <c r="F54" s="119"/>
      <c r="G54" s="3"/>
      <c r="H54" s="116"/>
      <c r="I54" s="117"/>
      <c r="J54" s="118"/>
      <c r="K54" s="3"/>
      <c r="AE54" s="32"/>
      <c r="AH54" s="32"/>
      <c r="AJ54" s="3" t="s">
        <v>243</v>
      </c>
      <c r="AM54" s="1" t="str">
        <f t="shared" si="18"/>
        <v>NO</v>
      </c>
      <c r="AP54" s="1" t="str">
        <f t="shared" si="9"/>
        <v>NO</v>
      </c>
      <c r="AS54" s="1" t="str">
        <f t="shared" si="10"/>
        <v>NO</v>
      </c>
      <c r="AV54" s="1" t="str">
        <f t="shared" si="11"/>
        <v>NO</v>
      </c>
      <c r="AY54" s="1" t="str">
        <f t="shared" si="12"/>
        <v>NO</v>
      </c>
      <c r="BB54" s="1" t="str">
        <f t="shared" si="13"/>
        <v>NO</v>
      </c>
      <c r="BE54" s="1" t="str">
        <f t="shared" si="14"/>
        <v>NO</v>
      </c>
      <c r="BH54" s="1" t="str">
        <f t="shared" si="15"/>
        <v>NO</v>
      </c>
      <c r="BK54" s="1" t="str">
        <f t="shared" si="16"/>
        <v>NO</v>
      </c>
      <c r="BN54" s="1" t="str">
        <f t="shared" si="17"/>
        <v>NO</v>
      </c>
    </row>
    <row r="55" spans="1:66">
      <c r="A55" s="76"/>
      <c r="B55" s="119"/>
      <c r="C55" s="119"/>
      <c r="D55" s="119"/>
      <c r="E55" s="119"/>
      <c r="F55" s="119"/>
      <c r="G55" s="3"/>
      <c r="H55" s="116"/>
      <c r="I55" s="117"/>
      <c r="J55" s="118"/>
      <c r="K55" s="3"/>
      <c r="AE55" s="32"/>
      <c r="AH55" s="32"/>
      <c r="AJ55" s="4" t="s">
        <v>244</v>
      </c>
      <c r="AM55" s="1" t="str">
        <f>IF(AK55="","NO",IF(AK55=$AF$4,"YES",IF($AF$4-AK55=1,IF(INDEX($AG$4:$AI$13,$AF$4,3)="OK","NO","YES"),"NO")))</f>
        <v>NO</v>
      </c>
      <c r="AP55" s="1" t="str">
        <f>IF(AN55="","NO",IF(AN55=$AF$4,"YES",IF($AF$4-AN55=1,IF(INDEX($AG$4:$AI$13,$AF$4,3)="OK","NO","YES"),"NO")))</f>
        <v>NO</v>
      </c>
      <c r="AS55" s="1" t="str">
        <f>IF(AQ55="","NO",IF(AQ55=$AF$4,"YES",IF($AF$4-AQ55=1,IF(INDEX($AG$4:$AI$13,$AF$4,3)="OK","NO","YES"),"NO")))</f>
        <v>NO</v>
      </c>
      <c r="AV55" s="1" t="str">
        <f>IF(AT55="","NO",IF(AT55=$AF$4,"YES",IF($AF$4-AT55=1,IF(INDEX($AG$4:$AI$13,$AF$4,3)="OK","NO","YES"),"NO")))</f>
        <v>NO</v>
      </c>
      <c r="AY55" s="1" t="str">
        <f>IF(AW55="","NO",IF(AW55=$AF$4,"YES",IF($AF$4-AW55=1,IF(INDEX($AG$4:$AI$13,$AF$4,3)="OK","NO","YES"),"NO")))</f>
        <v>NO</v>
      </c>
      <c r="BB55" s="1" t="str">
        <f>IF(AZ55="","NO",IF(AZ55=$AF$4,"YES",IF($AF$4-AZ55=1,IF(INDEX($AG$4:$AI$13,$AF$4,3)="OK","NO","YES"),"NO")))</f>
        <v>NO</v>
      </c>
      <c r="BE55" s="1" t="str">
        <f>IF(BC55="","NO",IF(BC55=$AF$4,"YES",IF($AF$4-BC55=1,IF(INDEX($AG$4:$AI$13,$AF$4,3)="OK","NO","YES"),"NO")))</f>
        <v>NO</v>
      </c>
      <c r="BH55" s="1" t="str">
        <f>IF(BF55="","NO",IF(BF55=$AF$4,"YES",IF($AF$4-BF55=1,IF(INDEX($AG$4:$AI$13,$AF$4,3)="OK","NO","YES"),"NO")))</f>
        <v>NO</v>
      </c>
      <c r="BK55" s="1" t="str">
        <f>IF(BI55="","NO",IF(BI55=$AF$4,"YES",IF($AF$4-BI55=1,IF(INDEX($AG$4:$AI$13,$AF$4,3)="OK","NO","YES"),"NO")))</f>
        <v>NO</v>
      </c>
      <c r="BN55" s="1" t="str">
        <f>IF(BL55="","NO",IF(BL55=$AF$4,"YES",IF($AF$4-BL55=1,IF(INDEX($AG$4:$AI$13,$AF$4,3)="OK","NO","YES"),"NO")))</f>
        <v>NO</v>
      </c>
    </row>
    <row r="56" spans="1:66">
      <c r="A56" s="76"/>
      <c r="B56" s="119"/>
      <c r="C56" s="119"/>
      <c r="D56" s="119"/>
      <c r="E56" s="119"/>
      <c r="F56" s="119"/>
      <c r="G56" s="3"/>
      <c r="H56" s="116"/>
      <c r="I56" s="117"/>
      <c r="J56" s="118"/>
      <c r="K56" s="3"/>
      <c r="AE56" s="32"/>
      <c r="AH56" s="32"/>
      <c r="AJ56" s="3" t="s">
        <v>245</v>
      </c>
      <c r="AM56" s="1" t="str">
        <f>IF(AK56="","NO",IF(AK56=$AF$4,"YES",IF($AF$4-AK56=1,IF(INDEX($AG$4:$AI$13,$AF$4,3)="OK","NO","YES"),"NO")))</f>
        <v>NO</v>
      </c>
      <c r="AP56" s="1" t="str">
        <f>IF(AN56="","NO",IF(AN56=$AF$4,"YES",IF($AF$4-AN56=1,IF(INDEX($AG$4:$AI$13,$AF$4,3)="OK","NO","YES"),"NO")))</f>
        <v>NO</v>
      </c>
      <c r="AS56" s="1" t="str">
        <f>IF(AQ56="","NO",IF(AQ56=$AF$4,"YES",IF($AF$4-AQ56=1,IF(INDEX($AG$4:$AI$13,$AF$4,3)="OK","NO","YES"),"NO")))</f>
        <v>NO</v>
      </c>
      <c r="AV56" s="1" t="str">
        <f>IF(AT56="","NO",IF(AT56=$AF$4,"YES",IF($AF$4-AT56=1,IF(INDEX($AG$4:$AI$13,$AF$4,3)="OK","NO","YES"),"NO")))</f>
        <v>NO</v>
      </c>
      <c r="AY56" s="1" t="str">
        <f>IF(AW56="","NO",IF(AW56=$AF$4,"YES",IF($AF$4-AW56=1,IF(INDEX($AG$4:$AI$13,$AF$4,3)="OK","NO","YES"),"NO")))</f>
        <v>NO</v>
      </c>
      <c r="BB56" s="1" t="str">
        <f>IF(AZ56="","NO",IF(AZ56=$AF$4,"YES",IF($AF$4-AZ56=1,IF(INDEX($AG$4:$AI$13,$AF$4,3)="OK","NO","YES"),"NO")))</f>
        <v>NO</v>
      </c>
      <c r="BE56" s="1" t="str">
        <f>IF(BC56="","NO",IF(BC56=$AF$4,"YES",IF($AF$4-BC56=1,IF(INDEX($AG$4:$AI$13,$AF$4,3)="OK","NO","YES"),"NO")))</f>
        <v>NO</v>
      </c>
      <c r="BH56" s="1" t="str">
        <f>IF(BF56="","NO",IF(BF56=$AF$4,"YES",IF($AF$4-BF56=1,IF(INDEX($AG$4:$AI$13,$AF$4,3)="OK","NO","YES"),"NO")))</f>
        <v>NO</v>
      </c>
      <c r="BK56" s="1" t="str">
        <f>IF(BI56="","NO",IF(BI56=$AF$4,"YES",IF($AF$4-BI56=1,IF(INDEX($AG$4:$AI$13,$AF$4,3)="OK","NO","YES"),"NO")))</f>
        <v>NO</v>
      </c>
      <c r="BN56" s="1" t="str">
        <f>IF(BL56="","NO",IF(BL56=$AF$4,"YES",IF($AF$4-BL56=1,IF(INDEX($AG$4:$AI$13,$AF$4,3)="OK","NO","YES"),"NO")))</f>
        <v>NO</v>
      </c>
    </row>
    <row r="57" spans="1:66">
      <c r="A57" s="76"/>
      <c r="B57" s="119"/>
      <c r="C57" s="119"/>
      <c r="D57" s="119"/>
      <c r="E57" s="119"/>
      <c r="F57" s="119"/>
      <c r="G57" s="3"/>
      <c r="H57" s="116"/>
      <c r="I57" s="117"/>
      <c r="J57" s="118"/>
      <c r="K57" s="3"/>
      <c r="AE57" s="32"/>
      <c r="AH57" s="32"/>
      <c r="AJ57" s="4" t="s">
        <v>216</v>
      </c>
      <c r="AM57" s="1" t="str">
        <f>IF(AK57="","NO",IF(AK57=$AF$4,"YES",IF($AF$4-AK57=1,IF(INDEX($AG$4:$AI$13,$AF$4,3)="OK","NO","YES"),"NO")))</f>
        <v>NO</v>
      </c>
      <c r="AP57" s="1" t="str">
        <f>IF(AN57="","NO",IF(AN57=$AF$4,"YES",IF($AF$4-AN57=1,IF(INDEX($AG$4:$AI$13,$AF$4,3)="OK","NO","YES"),"NO")))</f>
        <v>NO</v>
      </c>
      <c r="AS57" s="1" t="str">
        <f>IF(AQ57="","NO",IF(AQ57=$AF$4,"YES",IF($AF$4-AQ57=1,IF(INDEX($AG$4:$AI$13,$AF$4,3)="OK","NO","YES"),"NO")))</f>
        <v>NO</v>
      </c>
      <c r="AV57" s="1" t="str">
        <f>IF(AT57="","NO",IF(AT57=$AF$4,"YES",IF($AF$4-AT57=1,IF(INDEX($AG$4:$AI$13,$AF$4,3)="OK","NO","YES"),"NO")))</f>
        <v>NO</v>
      </c>
      <c r="AY57" s="1" t="str">
        <f>IF(AW57="","NO",IF(AW57=$AF$4,"YES",IF($AF$4-AW57=1,IF(INDEX($AG$4:$AI$13,$AF$4,3)="OK","NO","YES"),"NO")))</f>
        <v>NO</v>
      </c>
      <c r="BB57" s="1" t="str">
        <f>IF(AZ57="","NO",IF(AZ57=$AF$4,"YES",IF($AF$4-AZ57=1,IF(INDEX($AG$4:$AI$13,$AF$4,3)="OK","NO","YES"),"NO")))</f>
        <v>NO</v>
      </c>
      <c r="BE57" s="1" t="str">
        <f>IF(BC57="","NO",IF(BC57=$AF$4,"YES",IF($AF$4-BC57=1,IF(INDEX($AG$4:$AI$13,$AF$4,3)="OK","NO","YES"),"NO")))</f>
        <v>NO</v>
      </c>
      <c r="BH57" s="1" t="str">
        <f>IF(BF57="","NO",IF(BF57=$AF$4,"YES",IF($AF$4-BF57=1,IF(INDEX($AG$4:$AI$13,$AF$4,3)="OK","NO","YES"),"NO")))</f>
        <v>NO</v>
      </c>
      <c r="BK57" s="1" t="str">
        <f>IF(BI57="","NO",IF(BI57=$AF$4,"YES",IF($AF$4-BI57=1,IF(INDEX($AG$4:$AI$13,$AF$4,3)="OK","NO","YES"),"NO")))</f>
        <v>NO</v>
      </c>
      <c r="BN57" s="1" t="str">
        <f>IF(BL57="","NO",IF(BL57=$AF$4,"YES",IF($AF$4-BL57=1,IF(INDEX($AG$4:$AI$13,$AF$4,3)="OK","NO","YES"),"NO")))</f>
        <v>NO</v>
      </c>
    </row>
    <row r="58" spans="1:66">
      <c r="A58" s="76"/>
      <c r="B58" s="119"/>
      <c r="C58" s="119"/>
      <c r="D58" s="119"/>
      <c r="E58" s="119"/>
      <c r="F58" s="119"/>
      <c r="G58" s="3"/>
      <c r="H58" s="116"/>
      <c r="I58" s="117"/>
      <c r="J58" s="118"/>
      <c r="K58" s="3"/>
      <c r="AE58" s="32"/>
      <c r="AH58" s="32"/>
      <c r="AJ58" s="3" t="s">
        <v>218</v>
      </c>
      <c r="AM58" s="1" t="str">
        <f>IF(AK58="","NO",IF(AK58=$AF$4,"YES",IF($AF$4-AK58=1,IF(INDEX($AG$4:$AI$13,$AF$4,3)="OK","NO","YES"),"NO")))</f>
        <v>NO</v>
      </c>
      <c r="AP58" s="1" t="str">
        <f>IF(AN58="","NO",IF(AN58=$AF$4,"YES",IF($AF$4-AN58=1,IF(INDEX($AG$4:$AI$13,$AF$4,3)="OK","NO","YES"),"NO")))</f>
        <v>NO</v>
      </c>
      <c r="AS58" s="1" t="str">
        <f>IF(AQ58="","NO",IF(AQ58=$AF$4,"YES",IF($AF$4-AQ58=1,IF(INDEX($AG$4:$AI$13,$AF$4,3)="OK","NO","YES"),"NO")))</f>
        <v>NO</v>
      </c>
      <c r="AV58" s="1" t="str">
        <f>IF(AT58="","NO",IF(AT58=$AF$4,"YES",IF($AF$4-AT58=1,IF(INDEX($AG$4:$AI$13,$AF$4,3)="OK","NO","YES"),"NO")))</f>
        <v>NO</v>
      </c>
      <c r="AY58" s="1" t="str">
        <f>IF(AW58="","NO",IF(AW58=$AF$4,"YES",IF($AF$4-AW58=1,IF(INDEX($AG$4:$AI$13,$AF$4,3)="OK","NO","YES"),"NO")))</f>
        <v>NO</v>
      </c>
      <c r="BB58" s="1" t="str">
        <f>IF(AZ58="","NO",IF(AZ58=$AF$4,"YES",IF($AF$4-AZ58=1,IF(INDEX($AG$4:$AI$13,$AF$4,3)="OK","NO","YES"),"NO")))</f>
        <v>NO</v>
      </c>
      <c r="BE58" s="1" t="str">
        <f>IF(BC58="","NO",IF(BC58=$AF$4,"YES",IF($AF$4-BC58=1,IF(INDEX($AG$4:$AI$13,$AF$4,3)="OK","NO","YES"),"NO")))</f>
        <v>NO</v>
      </c>
      <c r="BH58" s="1" t="str">
        <f>IF(BF58="","NO",IF(BF58=$AF$4,"YES",IF($AF$4-BF58=1,IF(INDEX($AG$4:$AI$13,$AF$4,3)="OK","NO","YES"),"NO")))</f>
        <v>NO</v>
      </c>
      <c r="BK58" s="1" t="str">
        <f>IF(BI58="","NO",IF(BI58=$AF$4,"YES",IF($AF$4-BI58=1,IF(INDEX($AG$4:$AI$13,$AF$4,3)="OK","NO","YES"),"NO")))</f>
        <v>NO</v>
      </c>
      <c r="BN58" s="1" t="str">
        <f>IF(BL58="","NO",IF(BL58=$AF$4,"YES",IF($AF$4-BL58=1,IF(INDEX($AG$4:$AI$13,$AF$4,3)="OK","NO","YES"),"NO")))</f>
        <v>NO</v>
      </c>
    </row>
    <row r="59" spans="1:66">
      <c r="A59" s="76"/>
      <c r="B59" s="119"/>
      <c r="C59" s="119"/>
      <c r="D59" s="119"/>
      <c r="E59" s="119"/>
      <c r="F59" s="119"/>
      <c r="G59" s="3"/>
      <c r="H59" s="116"/>
      <c r="I59" s="117"/>
      <c r="J59" s="118"/>
      <c r="K59" s="3"/>
      <c r="AE59" s="32"/>
      <c r="AH59" s="32"/>
      <c r="AJ59" s="4" t="s">
        <v>220</v>
      </c>
      <c r="AM59" s="1" t="str">
        <f t="shared" ref="AM59:AM60" si="33">IF(AK59="","NO",IF(AK59=$AF$4,"YES",IF($AF$4-AK59=1,IF(INDEX($AG$4:$AI$13,$AF$4,3)="OK","NO","YES"),"NO")))</f>
        <v>NO</v>
      </c>
      <c r="AP59" s="1" t="str">
        <f t="shared" ref="AP59:AP60" si="34">IF(AN59="","NO",IF(AN59=$AF$4,"YES",IF($AF$4-AN59=1,IF(INDEX($AG$4:$AI$13,$AF$4,3)="OK","NO","YES"),"NO")))</f>
        <v>NO</v>
      </c>
      <c r="AS59" s="1" t="str">
        <f t="shared" ref="AS59:AS60" si="35">IF(AQ59="","NO",IF(AQ59=$AF$4,"YES",IF($AF$4-AQ59=1,IF(INDEX($AG$4:$AI$13,$AF$4,3)="OK","NO","YES"),"NO")))</f>
        <v>NO</v>
      </c>
      <c r="AV59" s="1" t="str">
        <f t="shared" ref="AV59:AV60" si="36">IF(AT59="","NO",IF(AT59=$AF$4,"YES",IF($AF$4-AT59=1,IF(INDEX($AG$4:$AI$13,$AF$4,3)="OK","NO","YES"),"NO")))</f>
        <v>NO</v>
      </c>
      <c r="AY59" s="1" t="str">
        <f t="shared" ref="AY59:AY60" si="37">IF(AW59="","NO",IF(AW59=$AF$4,"YES",IF($AF$4-AW59=1,IF(INDEX($AG$4:$AI$13,$AF$4,3)="OK","NO","YES"),"NO")))</f>
        <v>NO</v>
      </c>
      <c r="BB59" s="1" t="str">
        <f t="shared" ref="BB59:BB60" si="38">IF(AZ59="","NO",IF(AZ59=$AF$4,"YES",IF($AF$4-AZ59=1,IF(INDEX($AG$4:$AI$13,$AF$4,3)="OK","NO","YES"),"NO")))</f>
        <v>NO</v>
      </c>
      <c r="BE59" s="1" t="str">
        <f t="shared" ref="BE59:BE60" si="39">IF(BC59="","NO",IF(BC59=$AF$4,"YES",IF($AF$4-BC59=1,IF(INDEX($AG$4:$AI$13,$AF$4,3)="OK","NO","YES"),"NO")))</f>
        <v>NO</v>
      </c>
      <c r="BH59" s="1" t="str">
        <f t="shared" ref="BH59:BH60" si="40">IF(BF59="","NO",IF(BF59=$AF$4,"YES",IF($AF$4-BF59=1,IF(INDEX($AG$4:$AI$13,$AF$4,3)="OK","NO","YES"),"NO")))</f>
        <v>NO</v>
      </c>
      <c r="BK59" s="1" t="str">
        <f t="shared" ref="BK59:BK60" si="41">IF(BI59="","NO",IF(BI59=$AF$4,"YES",IF($AF$4-BI59=1,IF(INDEX($AG$4:$AI$13,$AF$4,3)="OK","NO","YES"),"NO")))</f>
        <v>NO</v>
      </c>
      <c r="BN59" s="1" t="str">
        <f t="shared" ref="BN59:BN60" si="42">IF(BL59="","NO",IF(BL59=$AF$4,"YES",IF($AF$4-BL59=1,IF(INDEX($AG$4:$AI$13,$AF$4,3)="OK","NO","YES"),"NO")))</f>
        <v>NO</v>
      </c>
    </row>
    <row r="60" spans="1:66">
      <c r="A60" s="76"/>
      <c r="B60" s="119"/>
      <c r="C60" s="119"/>
      <c r="D60" s="119"/>
      <c r="E60" s="119"/>
      <c r="F60" s="119"/>
      <c r="G60" s="3"/>
      <c r="H60" s="116"/>
      <c r="I60" s="117"/>
      <c r="J60" s="118"/>
      <c r="K60" s="3"/>
      <c r="AE60" s="32"/>
      <c r="AH60" s="32"/>
      <c r="AJ60" s="3" t="s">
        <v>225</v>
      </c>
      <c r="AM60" s="1" t="str">
        <f t="shared" si="33"/>
        <v>NO</v>
      </c>
      <c r="AP60" s="1" t="str">
        <f t="shared" si="34"/>
        <v>NO</v>
      </c>
      <c r="AS60" s="1" t="str">
        <f t="shared" si="35"/>
        <v>NO</v>
      </c>
      <c r="AV60" s="1" t="str">
        <f t="shared" si="36"/>
        <v>NO</v>
      </c>
      <c r="AY60" s="1" t="str">
        <f t="shared" si="37"/>
        <v>NO</v>
      </c>
      <c r="BB60" s="1" t="str">
        <f t="shared" si="38"/>
        <v>NO</v>
      </c>
      <c r="BE60" s="1" t="str">
        <f t="shared" si="39"/>
        <v>NO</v>
      </c>
      <c r="BH60" s="1" t="str">
        <f t="shared" si="40"/>
        <v>NO</v>
      </c>
      <c r="BK60" s="1" t="str">
        <f t="shared" si="41"/>
        <v>NO</v>
      </c>
      <c r="BN60" s="1" t="str">
        <f t="shared" si="42"/>
        <v>NO</v>
      </c>
    </row>
    <row r="61" spans="1:66">
      <c r="A61" s="76"/>
      <c r="B61" s="119"/>
      <c r="C61" s="119"/>
      <c r="D61" s="119"/>
      <c r="E61" s="119"/>
      <c r="F61" s="119"/>
      <c r="G61" s="3"/>
      <c r="H61" s="116"/>
      <c r="I61" s="117"/>
      <c r="J61" s="118"/>
      <c r="K61" s="3"/>
      <c r="AM61" s="1"/>
      <c r="AP61" s="1"/>
      <c r="AS61" s="1"/>
      <c r="AV61" s="1"/>
      <c r="AY61" s="1"/>
      <c r="BB61" s="1"/>
      <c r="BE61" s="1"/>
      <c r="BH61" s="1"/>
      <c r="BK61" s="1"/>
      <c r="BN61" s="1"/>
    </row>
    <row r="62" spans="1:66">
      <c r="A62" s="76"/>
      <c r="B62" s="119"/>
      <c r="C62" s="119"/>
      <c r="D62" s="119"/>
      <c r="E62" s="119"/>
      <c r="F62" s="119"/>
      <c r="G62" s="3"/>
      <c r="H62" s="116"/>
      <c r="I62" s="117"/>
      <c r="J62" s="118"/>
      <c r="K62" s="3"/>
      <c r="AM62" s="1"/>
      <c r="AP62" s="1"/>
      <c r="AS62" s="1"/>
      <c r="AV62" s="1"/>
      <c r="AY62" s="1"/>
      <c r="BB62" s="1"/>
      <c r="BE62" s="1"/>
      <c r="BH62" s="1"/>
      <c r="BK62" s="1"/>
      <c r="BN62" s="1"/>
    </row>
    <row r="63" spans="1:66">
      <c r="A63" s="76"/>
      <c r="B63" s="119"/>
      <c r="C63" s="119"/>
      <c r="D63" s="119"/>
      <c r="E63" s="119"/>
      <c r="F63" s="119"/>
      <c r="G63" s="3"/>
      <c r="H63" s="116"/>
      <c r="I63" s="117"/>
      <c r="J63" s="118"/>
      <c r="K63" s="3"/>
      <c r="AM63" s="1"/>
      <c r="AP63" s="1"/>
      <c r="AS63" s="1"/>
      <c r="AV63" s="1"/>
      <c r="AY63" s="1"/>
      <c r="BB63" s="1"/>
      <c r="BE63" s="1"/>
      <c r="BH63" s="1"/>
      <c r="BK63" s="1"/>
      <c r="BN63" s="1"/>
    </row>
    <row r="64" spans="1:66">
      <c r="A64" s="76"/>
      <c r="B64" s="119"/>
      <c r="C64" s="119"/>
      <c r="D64" s="119"/>
      <c r="E64" s="119"/>
      <c r="F64" s="119"/>
      <c r="G64" s="3"/>
      <c r="H64" s="116"/>
      <c r="I64" s="117"/>
      <c r="J64" s="118"/>
      <c r="K64" s="3"/>
      <c r="AM64" s="1"/>
      <c r="AP64" s="1"/>
      <c r="AS64" s="1"/>
      <c r="AV64" s="1"/>
      <c r="AY64" s="1"/>
      <c r="BB64" s="1"/>
      <c r="BE64" s="1"/>
      <c r="BH64" s="1"/>
      <c r="BK64" s="1"/>
      <c r="BN64" s="1"/>
    </row>
    <row r="65" spans="1:66">
      <c r="A65" s="76"/>
      <c r="B65" s="119"/>
      <c r="C65" s="119"/>
      <c r="D65" s="119"/>
      <c r="E65" s="119"/>
      <c r="F65" s="119"/>
      <c r="G65" s="3"/>
      <c r="H65" s="116"/>
      <c r="I65" s="117"/>
      <c r="J65" s="118"/>
      <c r="K65" s="3"/>
      <c r="AM65" s="1"/>
      <c r="AP65" s="1"/>
      <c r="AS65" s="1"/>
      <c r="AV65" s="1"/>
      <c r="AY65" s="1"/>
      <c r="BB65" s="1"/>
      <c r="BE65" s="1"/>
      <c r="BH65" s="1"/>
      <c r="BK65" s="1"/>
      <c r="BN65" s="1"/>
    </row>
    <row r="66" spans="1:66">
      <c r="A66" s="76"/>
      <c r="B66" s="119"/>
      <c r="C66" s="119"/>
      <c r="D66" s="119"/>
      <c r="E66" s="119"/>
      <c r="F66" s="119"/>
      <c r="G66" s="3"/>
      <c r="H66" s="116"/>
      <c r="I66" s="117"/>
      <c r="J66" s="118"/>
      <c r="K66" s="3"/>
      <c r="AM66" s="1"/>
      <c r="AP66" s="1"/>
      <c r="AS66" s="1"/>
      <c r="AV66" s="1"/>
      <c r="AY66" s="1"/>
      <c r="BB66" s="1"/>
      <c r="BE66" s="1"/>
      <c r="BH66" s="1"/>
      <c r="BK66" s="1"/>
      <c r="BN66" s="1"/>
    </row>
    <row r="67" spans="1:66">
      <c r="A67" s="76"/>
      <c r="B67" s="119"/>
      <c r="C67" s="119"/>
      <c r="D67" s="119"/>
      <c r="E67" s="119"/>
      <c r="F67" s="119"/>
      <c r="G67" s="3"/>
      <c r="H67" s="116"/>
      <c r="I67" s="117"/>
      <c r="J67" s="118"/>
      <c r="K67" s="3"/>
      <c r="AM67" s="1"/>
      <c r="AP67" s="1"/>
      <c r="AS67" s="1"/>
      <c r="AV67" s="1"/>
      <c r="AY67" s="1"/>
      <c r="BB67" s="1"/>
      <c r="BE67" s="1"/>
      <c r="BH67" s="1"/>
      <c r="BK67" s="1"/>
      <c r="BN67" s="1"/>
    </row>
    <row r="68" spans="1:66">
      <c r="A68" s="76"/>
      <c r="B68" s="119"/>
      <c r="C68" s="119"/>
      <c r="D68" s="119"/>
      <c r="E68" s="119"/>
      <c r="F68" s="119"/>
      <c r="G68" s="3"/>
      <c r="H68" s="116"/>
      <c r="I68" s="117"/>
      <c r="J68" s="118"/>
      <c r="K68" s="3"/>
    </row>
    <row r="75" spans="1:66">
      <c r="AI75" s="1"/>
      <c r="AK75" s="1" t="s">
        <v>248</v>
      </c>
      <c r="AL75" s="1" t="s">
        <v>249</v>
      </c>
      <c r="AM75" t="s">
        <v>250</v>
      </c>
      <c r="AN75" s="105" t="s">
        <v>251</v>
      </c>
      <c r="AO75" s="105"/>
      <c r="AP75" s="105"/>
      <c r="AQ75" s="105" t="s">
        <v>252</v>
      </c>
      <c r="AR75" s="105"/>
      <c r="AS75" s="105"/>
      <c r="AT75" s="105" t="s">
        <v>253</v>
      </c>
      <c r="AU75" s="105"/>
      <c r="AV75" s="105"/>
    </row>
    <row r="76" spans="1:66">
      <c r="AI76" s="1"/>
      <c r="AJ76" s="4" t="s">
        <v>254</v>
      </c>
      <c r="AK76" s="1">
        <v>1</v>
      </c>
      <c r="AL76" s="1">
        <v>0</v>
      </c>
      <c r="AM76" s="1">
        <v>6</v>
      </c>
      <c r="AN76" s="105" t="s">
        <v>255</v>
      </c>
      <c r="AO76" s="105"/>
      <c r="AP76" s="105"/>
      <c r="AQ76" s="105" t="s">
        <v>256</v>
      </c>
      <c r="AR76" s="105"/>
      <c r="AS76" s="105"/>
      <c r="AT76" s="105" t="s">
        <v>257</v>
      </c>
      <c r="AU76" s="105"/>
      <c r="AV76" s="105"/>
    </row>
    <row r="77" spans="1:66">
      <c r="AI77" s="1"/>
      <c r="AJ77" s="3" t="s">
        <v>258</v>
      </c>
      <c r="AK77" s="1">
        <v>2</v>
      </c>
      <c r="AL77" s="1">
        <v>0</v>
      </c>
      <c r="AM77" s="1">
        <v>5</v>
      </c>
      <c r="AN77" s="105" t="s">
        <v>259</v>
      </c>
      <c r="AO77" s="105"/>
      <c r="AP77" s="105"/>
      <c r="AQ77" s="105" t="s">
        <v>260</v>
      </c>
      <c r="AR77" s="105"/>
      <c r="AS77" s="105"/>
      <c r="AT77" s="105" t="s">
        <v>261</v>
      </c>
      <c r="AU77" s="105"/>
      <c r="AV77" s="105"/>
    </row>
    <row r="78" spans="1:66">
      <c r="AI78" s="1"/>
      <c r="AJ78" s="4" t="s">
        <v>262</v>
      </c>
      <c r="AK78" s="1">
        <v>3</v>
      </c>
      <c r="AL78" s="1"/>
      <c r="AM78" s="1"/>
      <c r="AN78" s="105" t="s">
        <v>263</v>
      </c>
      <c r="AO78" s="105"/>
      <c r="AP78" s="105"/>
      <c r="AQ78" s="105" t="s">
        <v>264</v>
      </c>
      <c r="AR78" s="105"/>
      <c r="AS78" s="105"/>
      <c r="AT78" s="105" t="s">
        <v>265</v>
      </c>
      <c r="AU78" s="105"/>
      <c r="AV78" s="105"/>
    </row>
    <row r="79" spans="1:66">
      <c r="AI79" s="1"/>
      <c r="AJ79" s="3"/>
      <c r="AK79" s="1">
        <v>4</v>
      </c>
      <c r="AL79" s="1"/>
      <c r="AM79" s="1"/>
      <c r="AN79" s="105"/>
      <c r="AO79" s="105"/>
      <c r="AP79" s="105"/>
      <c r="AQ79" s="105"/>
      <c r="AR79" s="105"/>
      <c r="AS79" s="105"/>
      <c r="AT79" s="105"/>
      <c r="AU79" s="105"/>
      <c r="AV79" s="105"/>
    </row>
    <row r="80" spans="1:66">
      <c r="AI80" s="1"/>
      <c r="AJ80" s="4"/>
      <c r="AK80" s="1">
        <v>5</v>
      </c>
      <c r="AL80" s="1"/>
      <c r="AM80" s="1"/>
      <c r="AN80" s="105"/>
      <c r="AO80" s="105"/>
      <c r="AP80" s="105"/>
      <c r="AQ80" s="105"/>
      <c r="AR80" s="105"/>
      <c r="AS80" s="105"/>
      <c r="AT80" s="105"/>
      <c r="AU80" s="105"/>
      <c r="AV80" s="105"/>
    </row>
    <row r="81" spans="35:48">
      <c r="AI81" s="1"/>
      <c r="AJ81" s="3"/>
      <c r="AK81" s="1">
        <v>6</v>
      </c>
      <c r="AL81" s="1"/>
      <c r="AM81" s="1"/>
      <c r="AN81" s="105"/>
      <c r="AO81" s="105"/>
      <c r="AP81" s="105"/>
      <c r="AQ81" s="105"/>
      <c r="AR81" s="105"/>
      <c r="AS81" s="105"/>
      <c r="AT81" s="105"/>
      <c r="AU81" s="105"/>
      <c r="AV81" s="105"/>
    </row>
    <row r="82" spans="35:48">
      <c r="AI82" s="1"/>
      <c r="AJ82" s="8" t="s">
        <v>206</v>
      </c>
      <c r="AK82" s="1">
        <v>7</v>
      </c>
      <c r="AL82" s="1">
        <v>100</v>
      </c>
      <c r="AM82" s="1">
        <v>50</v>
      </c>
      <c r="AN82" s="105" t="s">
        <v>266</v>
      </c>
      <c r="AO82" s="105"/>
      <c r="AP82" s="105"/>
      <c r="AQ82" s="105" t="s">
        <v>267</v>
      </c>
      <c r="AR82" s="105"/>
      <c r="AS82" s="105"/>
      <c r="AT82" s="105" t="s">
        <v>268</v>
      </c>
      <c r="AU82" s="105"/>
      <c r="AV82" s="105"/>
    </row>
    <row r="83" spans="35:48">
      <c r="AI83" s="1"/>
      <c r="AJ83" s="8" t="s">
        <v>208</v>
      </c>
      <c r="AK83" s="1">
        <v>8</v>
      </c>
      <c r="AL83" s="1">
        <v>0</v>
      </c>
      <c r="AM83" s="1">
        <v>5</v>
      </c>
      <c r="AN83" s="105" t="s">
        <v>269</v>
      </c>
      <c r="AO83" s="105"/>
      <c r="AP83" s="105"/>
      <c r="AQ83" s="105" t="s">
        <v>270</v>
      </c>
      <c r="AR83" s="105"/>
      <c r="AS83" s="105"/>
      <c r="AT83" s="105" t="s">
        <v>271</v>
      </c>
      <c r="AU83" s="105"/>
      <c r="AV83" s="105"/>
    </row>
    <row r="84" spans="35:48">
      <c r="AI84" s="1"/>
      <c r="AJ84" s="4"/>
      <c r="AK84" s="1">
        <v>9</v>
      </c>
      <c r="AL84" s="1"/>
      <c r="AM84" s="1"/>
      <c r="AN84" s="105"/>
      <c r="AO84" s="105"/>
      <c r="AP84" s="105"/>
      <c r="AQ84" s="105"/>
      <c r="AR84" s="105"/>
      <c r="AS84" s="105"/>
      <c r="AT84" s="105"/>
      <c r="AU84" s="105"/>
      <c r="AV84" s="105"/>
    </row>
    <row r="85" spans="35:48">
      <c r="AI85" s="1"/>
      <c r="AJ85" s="3"/>
      <c r="AK85" s="1">
        <v>10</v>
      </c>
      <c r="AL85" s="1"/>
      <c r="AM85" s="1"/>
      <c r="AN85" s="105"/>
      <c r="AO85" s="105"/>
      <c r="AP85" s="105"/>
      <c r="AQ85" s="105"/>
      <c r="AR85" s="105"/>
      <c r="AS85" s="105"/>
      <c r="AT85" s="105"/>
      <c r="AU85" s="105"/>
      <c r="AV85" s="105"/>
    </row>
    <row r="86" spans="35:48">
      <c r="AI86" s="1"/>
      <c r="AJ86" s="4" t="s">
        <v>212</v>
      </c>
      <c r="AK86" s="1">
        <v>11</v>
      </c>
      <c r="AL86" s="1">
        <v>0</v>
      </c>
      <c r="AM86" s="1">
        <v>4</v>
      </c>
      <c r="AN86" s="105" t="s">
        <v>272</v>
      </c>
      <c r="AO86" s="105"/>
      <c r="AP86" s="105"/>
      <c r="AQ86" s="105" t="s">
        <v>273</v>
      </c>
      <c r="AR86" s="105"/>
      <c r="AS86" s="105"/>
      <c r="AT86" s="105" t="s">
        <v>274</v>
      </c>
      <c r="AU86" s="105"/>
      <c r="AV86" s="105"/>
    </row>
    <row r="87" spans="35:48">
      <c r="AI87" s="1"/>
      <c r="AJ87" s="3"/>
      <c r="AK87" s="1">
        <v>12</v>
      </c>
      <c r="AL87" s="1"/>
      <c r="AM87" s="1"/>
      <c r="AN87" s="105"/>
      <c r="AO87" s="105"/>
      <c r="AP87" s="105"/>
      <c r="AQ87" s="105"/>
      <c r="AR87" s="105"/>
      <c r="AS87" s="105"/>
      <c r="AT87" s="105"/>
      <c r="AU87" s="105"/>
      <c r="AV87" s="105"/>
    </row>
    <row r="88" spans="35:48">
      <c r="AI88" s="1"/>
      <c r="AJ88" s="4"/>
      <c r="AK88" s="1"/>
      <c r="AL88" s="1"/>
      <c r="AM88" s="1"/>
      <c r="AN88" s="105"/>
      <c r="AO88" s="105"/>
      <c r="AP88" s="105"/>
      <c r="AQ88" s="105"/>
      <c r="AR88" s="105"/>
      <c r="AS88" s="105"/>
      <c r="AT88" s="105"/>
      <c r="AU88" s="105"/>
      <c r="AV88" s="105"/>
    </row>
    <row r="89" spans="35:48">
      <c r="AI89" s="1"/>
      <c r="AJ89" s="3"/>
      <c r="AK89" s="1">
        <v>14</v>
      </c>
      <c r="AL89" s="1"/>
      <c r="AM89" s="1"/>
      <c r="AN89" s="105"/>
      <c r="AO89" s="105"/>
      <c r="AP89" s="105"/>
      <c r="AQ89" s="105"/>
      <c r="AR89" s="105"/>
      <c r="AS89" s="105"/>
      <c r="AT89" s="105"/>
      <c r="AU89" s="105"/>
      <c r="AV89" s="105"/>
    </row>
    <row r="90" spans="35:48">
      <c r="AI90" s="1"/>
      <c r="AJ90" s="8" t="s">
        <v>217</v>
      </c>
      <c r="AK90" s="1">
        <v>15</v>
      </c>
      <c r="AL90" s="1">
        <v>0</v>
      </c>
      <c r="AM90" s="1">
        <v>6</v>
      </c>
      <c r="AN90" s="105" t="s">
        <v>275</v>
      </c>
      <c r="AO90" s="105"/>
      <c r="AP90" s="105"/>
      <c r="AQ90" s="105" t="s">
        <v>276</v>
      </c>
      <c r="AR90" s="105"/>
      <c r="AS90" s="105"/>
      <c r="AT90" s="105" t="s">
        <v>277</v>
      </c>
      <c r="AU90" s="105"/>
      <c r="AV90" s="105"/>
    </row>
    <row r="91" spans="35:48">
      <c r="AI91" s="1"/>
      <c r="AJ91" s="8" t="s">
        <v>219</v>
      </c>
      <c r="AK91" s="1">
        <v>16</v>
      </c>
      <c r="AL91" s="1">
        <v>0</v>
      </c>
      <c r="AM91" s="1">
        <v>4</v>
      </c>
      <c r="AN91" s="105" t="s">
        <v>272</v>
      </c>
      <c r="AO91" s="105"/>
      <c r="AP91" s="105"/>
      <c r="AQ91" s="105" t="s">
        <v>278</v>
      </c>
      <c r="AR91" s="105"/>
      <c r="AS91" s="105"/>
      <c r="AT91" s="105" t="s">
        <v>279</v>
      </c>
      <c r="AU91" s="105"/>
      <c r="AV91" s="105"/>
    </row>
    <row r="92" spans="35:48">
      <c r="AI92" s="1"/>
      <c r="AJ92" s="4"/>
      <c r="AK92" s="1">
        <v>17</v>
      </c>
      <c r="AL92" s="1"/>
      <c r="AM92" s="1"/>
      <c r="AN92" s="105"/>
      <c r="AO92" s="105"/>
      <c r="AP92" s="105"/>
      <c r="AQ92" s="105"/>
      <c r="AR92" s="105"/>
      <c r="AS92" s="105"/>
      <c r="AT92" s="105"/>
      <c r="AU92" s="105"/>
      <c r="AV92" s="105"/>
    </row>
    <row r="93" spans="35:48">
      <c r="AI93" s="1"/>
      <c r="AJ93" s="3"/>
      <c r="AK93" s="1">
        <v>18</v>
      </c>
      <c r="AL93" s="1"/>
      <c r="AM93" s="1"/>
      <c r="AN93" s="105"/>
      <c r="AO93" s="105"/>
      <c r="AP93" s="105"/>
      <c r="AQ93" s="105"/>
      <c r="AR93" s="105"/>
      <c r="AS93" s="105"/>
      <c r="AT93" s="105"/>
      <c r="AU93" s="105"/>
      <c r="AV93" s="105"/>
    </row>
    <row r="94" spans="35:48">
      <c r="AI94" s="1"/>
      <c r="AJ94" s="4" t="s">
        <v>228</v>
      </c>
      <c r="AK94" s="1">
        <v>19</v>
      </c>
      <c r="AL94" s="1">
        <v>0</v>
      </c>
      <c r="AM94" s="1">
        <v>6</v>
      </c>
      <c r="AN94" s="105" t="s">
        <v>280</v>
      </c>
      <c r="AO94" s="105"/>
      <c r="AP94" s="105"/>
      <c r="AQ94" s="105" t="s">
        <v>281</v>
      </c>
      <c r="AR94" s="105"/>
      <c r="AS94" s="105"/>
      <c r="AT94" s="105" t="s">
        <v>282</v>
      </c>
      <c r="AU94" s="105"/>
      <c r="AV94" s="105"/>
    </row>
    <row r="95" spans="35:48">
      <c r="AI95" s="1"/>
      <c r="AJ95" s="3"/>
      <c r="AK95" s="1">
        <v>20</v>
      </c>
      <c r="AL95" s="1"/>
      <c r="AM95" s="1"/>
      <c r="AN95" s="105"/>
      <c r="AO95" s="105"/>
      <c r="AP95" s="105"/>
      <c r="AQ95" s="105"/>
      <c r="AR95" s="105"/>
      <c r="AS95" s="105"/>
      <c r="AT95" s="105"/>
      <c r="AU95" s="105"/>
      <c r="AV95" s="105"/>
    </row>
    <row r="96" spans="35:48">
      <c r="AI96" s="1"/>
      <c r="AJ96" s="4" t="s">
        <v>230</v>
      </c>
      <c r="AK96" s="1">
        <v>21</v>
      </c>
      <c r="AL96" s="1">
        <v>0</v>
      </c>
      <c r="AM96" s="1">
        <v>6</v>
      </c>
      <c r="AN96" s="105" t="s">
        <v>283</v>
      </c>
      <c r="AO96" s="105"/>
      <c r="AP96" s="105"/>
      <c r="AQ96" s="105" t="s">
        <v>284</v>
      </c>
      <c r="AR96" s="105"/>
      <c r="AS96" s="105"/>
      <c r="AT96" s="105" t="s">
        <v>285</v>
      </c>
      <c r="AU96" s="105"/>
      <c r="AV96" s="105"/>
    </row>
    <row r="97" spans="35:48">
      <c r="AI97" s="1"/>
      <c r="AJ97" s="3"/>
      <c r="AK97" s="1">
        <v>22</v>
      </c>
      <c r="AL97" s="1"/>
      <c r="AM97" s="1"/>
      <c r="AN97" s="105"/>
      <c r="AO97" s="105"/>
      <c r="AP97" s="105"/>
      <c r="AQ97" s="105"/>
      <c r="AR97" s="105"/>
      <c r="AS97" s="105"/>
      <c r="AT97" s="105"/>
      <c r="AU97" s="105"/>
      <c r="AV97" s="105"/>
    </row>
    <row r="98" spans="35:48">
      <c r="AI98" s="1"/>
      <c r="AJ98" s="4"/>
      <c r="AK98" s="1">
        <v>23</v>
      </c>
      <c r="AL98" s="1"/>
      <c r="AM98" s="1"/>
      <c r="AN98" s="105"/>
      <c r="AO98" s="105"/>
      <c r="AP98" s="105"/>
      <c r="AQ98" s="105"/>
      <c r="AR98" s="105"/>
      <c r="AS98" s="105"/>
      <c r="AT98" s="105"/>
      <c r="AU98" s="105"/>
      <c r="AV98" s="105"/>
    </row>
    <row r="99" spans="35:48">
      <c r="AI99" s="1"/>
      <c r="AJ99" s="3"/>
      <c r="AK99" s="1">
        <v>24</v>
      </c>
      <c r="AL99" s="1"/>
      <c r="AM99" s="1"/>
      <c r="AN99" s="105"/>
      <c r="AO99" s="105"/>
      <c r="AP99" s="105"/>
      <c r="AQ99" s="105"/>
      <c r="AR99" s="105"/>
      <c r="AS99" s="105"/>
      <c r="AT99" s="105"/>
      <c r="AU99" s="105"/>
      <c r="AV99" s="105"/>
    </row>
    <row r="100" spans="35:48">
      <c r="AI100" s="1"/>
      <c r="AJ100" s="4" t="s">
        <v>234</v>
      </c>
      <c r="AK100" s="1">
        <v>25</v>
      </c>
      <c r="AL100" s="1">
        <v>100</v>
      </c>
      <c r="AM100" s="1">
        <v>60</v>
      </c>
      <c r="AN100" s="105" t="s">
        <v>286</v>
      </c>
      <c r="AO100" s="105"/>
      <c r="AP100" s="105"/>
      <c r="AQ100" s="105" t="s">
        <v>287</v>
      </c>
      <c r="AR100" s="105"/>
      <c r="AS100" s="105"/>
      <c r="AT100" s="105" t="s">
        <v>288</v>
      </c>
      <c r="AU100" s="105"/>
      <c r="AV100" s="105"/>
    </row>
    <row r="101" spans="35:48">
      <c r="AI101" s="1"/>
      <c r="AJ101" s="3"/>
      <c r="AK101" s="1">
        <v>26</v>
      </c>
      <c r="AL101" s="1"/>
      <c r="AM101" s="1"/>
      <c r="AN101" s="105"/>
      <c r="AO101" s="105"/>
      <c r="AP101" s="105"/>
      <c r="AQ101" s="105"/>
      <c r="AR101" s="105"/>
      <c r="AS101" s="105"/>
      <c r="AT101" s="105"/>
      <c r="AU101" s="105"/>
      <c r="AV101" s="105"/>
    </row>
    <row r="102" spans="35:48">
      <c r="AI102" s="1"/>
      <c r="AJ102" s="4"/>
      <c r="AK102" s="1">
        <v>27</v>
      </c>
      <c r="AL102" s="1"/>
      <c r="AM102" s="1"/>
      <c r="AN102" s="105"/>
      <c r="AO102" s="105"/>
      <c r="AP102" s="105"/>
      <c r="AQ102" s="105"/>
      <c r="AR102" s="105"/>
      <c r="AS102" s="105"/>
      <c r="AT102" s="105"/>
      <c r="AU102" s="105"/>
      <c r="AV102" s="105"/>
    </row>
    <row r="103" spans="35:48">
      <c r="AI103" s="1"/>
      <c r="AJ103" s="3"/>
      <c r="AK103" s="1">
        <v>28</v>
      </c>
      <c r="AL103" s="1"/>
      <c r="AM103" s="1"/>
      <c r="AN103" s="105"/>
      <c r="AO103" s="105"/>
      <c r="AP103" s="105"/>
      <c r="AQ103" s="105"/>
      <c r="AR103" s="105"/>
      <c r="AS103" s="105"/>
      <c r="AT103" s="105"/>
      <c r="AU103" s="105"/>
      <c r="AV103" s="105"/>
    </row>
    <row r="104" spans="35:48">
      <c r="AI104" s="1"/>
      <c r="AJ104" s="4" t="s">
        <v>238</v>
      </c>
      <c r="AK104" s="1">
        <v>29</v>
      </c>
      <c r="AL104" s="1">
        <v>0</v>
      </c>
      <c r="AM104" s="1">
        <v>6</v>
      </c>
      <c r="AN104" s="105" t="s">
        <v>289</v>
      </c>
      <c r="AO104" s="105"/>
      <c r="AP104" s="105"/>
      <c r="AQ104" s="105" t="s">
        <v>290</v>
      </c>
      <c r="AR104" s="105"/>
      <c r="AS104" s="105"/>
      <c r="AT104" s="105" t="s">
        <v>291</v>
      </c>
      <c r="AU104" s="105"/>
      <c r="AV104" s="105"/>
    </row>
    <row r="105" spans="35:48">
      <c r="AI105" s="1"/>
      <c r="AJ105" s="3"/>
      <c r="AK105" s="1">
        <v>30</v>
      </c>
      <c r="AL105" s="1"/>
      <c r="AM105" s="1"/>
      <c r="AN105" s="105"/>
      <c r="AO105" s="105"/>
      <c r="AP105" s="105"/>
      <c r="AQ105" s="105"/>
      <c r="AR105" s="105"/>
      <c r="AS105" s="105"/>
      <c r="AT105" s="105"/>
      <c r="AU105" s="105"/>
      <c r="AV105" s="105"/>
    </row>
    <row r="106" spans="35:48">
      <c r="AI106" s="1"/>
      <c r="AJ106" s="4"/>
      <c r="AK106" s="1">
        <v>31</v>
      </c>
      <c r="AL106" s="1"/>
      <c r="AM106" s="1"/>
      <c r="AN106" s="105"/>
      <c r="AO106" s="105"/>
      <c r="AP106" s="105"/>
      <c r="AQ106" s="105"/>
      <c r="AR106" s="105"/>
      <c r="AS106" s="105"/>
      <c r="AT106" s="105"/>
      <c r="AU106" s="105"/>
      <c r="AV106" s="105"/>
    </row>
    <row r="107" spans="35:48">
      <c r="AI107" s="1"/>
      <c r="AJ107" s="3" t="s">
        <v>241</v>
      </c>
      <c r="AK107" s="1">
        <v>32</v>
      </c>
      <c r="AL107" s="1">
        <v>0</v>
      </c>
      <c r="AM107" s="1">
        <v>6</v>
      </c>
      <c r="AN107" s="105" t="s">
        <v>292</v>
      </c>
      <c r="AO107" s="105"/>
      <c r="AP107" s="105"/>
      <c r="AQ107" s="105" t="s">
        <v>293</v>
      </c>
      <c r="AR107" s="105"/>
      <c r="AS107" s="105"/>
      <c r="AT107" s="105" t="s">
        <v>294</v>
      </c>
      <c r="AU107" s="105"/>
      <c r="AV107" s="105"/>
    </row>
    <row r="108" spans="35:48">
      <c r="AJ108" s="4"/>
      <c r="AK108" s="1">
        <v>33</v>
      </c>
      <c r="AL108" s="1"/>
      <c r="AM108" s="1"/>
      <c r="AN108" s="105"/>
      <c r="AO108" s="105"/>
      <c r="AP108" s="105"/>
      <c r="AQ108" s="105"/>
      <c r="AR108" s="105"/>
      <c r="AS108" s="105"/>
      <c r="AT108" s="105"/>
      <c r="AU108" s="105"/>
      <c r="AV108" s="105"/>
    </row>
    <row r="109" spans="35:48">
      <c r="AJ109" s="3" t="s">
        <v>243</v>
      </c>
      <c r="AK109" s="1">
        <v>34</v>
      </c>
      <c r="AL109" s="1">
        <v>0</v>
      </c>
      <c r="AM109" s="1">
        <v>6</v>
      </c>
      <c r="AN109" s="105" t="s">
        <v>295</v>
      </c>
      <c r="AO109" s="105"/>
      <c r="AP109" s="105"/>
      <c r="AQ109" s="105" t="s">
        <v>296</v>
      </c>
      <c r="AR109" s="105"/>
      <c r="AS109" s="105"/>
      <c r="AT109" s="105" t="s">
        <v>286</v>
      </c>
      <c r="AU109" s="105"/>
      <c r="AV109" s="105"/>
    </row>
    <row r="110" spans="35:48">
      <c r="AJ110" s="4" t="s">
        <v>244</v>
      </c>
      <c r="AK110" s="1">
        <v>35</v>
      </c>
      <c r="AL110" s="1">
        <v>1</v>
      </c>
      <c r="AM110" s="1">
        <v>6</v>
      </c>
      <c r="AN110" s="105" t="s">
        <v>297</v>
      </c>
      <c r="AO110" s="105"/>
      <c r="AP110" s="105"/>
      <c r="AQ110" s="105" t="s">
        <v>298</v>
      </c>
      <c r="AR110" s="105"/>
      <c r="AS110" s="105"/>
      <c r="AT110" s="105" t="s">
        <v>299</v>
      </c>
      <c r="AU110" s="105"/>
      <c r="AV110" s="105"/>
    </row>
    <row r="111" spans="35:48">
      <c r="AJ111" s="3" t="s">
        <v>245</v>
      </c>
      <c r="AK111" s="1">
        <v>36</v>
      </c>
      <c r="AL111" s="1">
        <v>0</v>
      </c>
      <c r="AM111" s="1">
        <v>6</v>
      </c>
      <c r="AN111" s="105" t="s">
        <v>285</v>
      </c>
      <c r="AO111" s="105"/>
      <c r="AP111" s="105"/>
      <c r="AQ111" s="105" t="s">
        <v>300</v>
      </c>
      <c r="AR111" s="105"/>
      <c r="AS111" s="105"/>
      <c r="AT111" s="105" t="s">
        <v>286</v>
      </c>
      <c r="AU111" s="105"/>
      <c r="AV111" s="105"/>
    </row>
  </sheetData>
  <mergeCells count="175">
    <mergeCell ref="AT91:AV91"/>
    <mergeCell ref="AT92:AV92"/>
    <mergeCell ref="AT93:AV93"/>
    <mergeCell ref="AT94:AV94"/>
    <mergeCell ref="AT95:AV95"/>
    <mergeCell ref="AQ92:AS92"/>
    <mergeCell ref="AQ93:AS93"/>
    <mergeCell ref="AQ83:AS83"/>
    <mergeCell ref="AQ84:AS84"/>
    <mergeCell ref="AQ85:AS85"/>
    <mergeCell ref="AQ86:AS86"/>
    <mergeCell ref="AQ87:AS87"/>
    <mergeCell ref="AT87:AV87"/>
    <mergeCell ref="AT88:AV88"/>
    <mergeCell ref="AT89:AV89"/>
    <mergeCell ref="AT90:AV90"/>
    <mergeCell ref="AT104:AV104"/>
    <mergeCell ref="AN19:AP19"/>
    <mergeCell ref="U14:U17"/>
    <mergeCell ref="V14:V17"/>
    <mergeCell ref="AQ88:AS88"/>
    <mergeCell ref="AT97:AV97"/>
    <mergeCell ref="AT98:AV98"/>
    <mergeCell ref="AT99:AV99"/>
    <mergeCell ref="AT100:AV100"/>
    <mergeCell ref="AT101:AV101"/>
    <mergeCell ref="AQ75:AS75"/>
    <mergeCell ref="AT75:AV75"/>
    <mergeCell ref="AQ76:AS76"/>
    <mergeCell ref="AQ77:AS77"/>
    <mergeCell ref="AQ78:AS78"/>
    <mergeCell ref="AN87:AP87"/>
    <mergeCell ref="AN88:AP88"/>
    <mergeCell ref="AN98:AP98"/>
    <mergeCell ref="AN93:AP93"/>
    <mergeCell ref="AN94:AP94"/>
    <mergeCell ref="AN95:AP95"/>
    <mergeCell ref="AN96:AP96"/>
    <mergeCell ref="AN97:AP97"/>
    <mergeCell ref="AT102:AV102"/>
    <mergeCell ref="BF19:BH19"/>
    <mergeCell ref="BI19:BK19"/>
    <mergeCell ref="BL19:BN19"/>
    <mergeCell ref="AQ19:AS19"/>
    <mergeCell ref="AT19:AV19"/>
    <mergeCell ref="AW19:AY19"/>
    <mergeCell ref="AZ19:BB19"/>
    <mergeCell ref="BC19:BE19"/>
    <mergeCell ref="B3:E3"/>
    <mergeCell ref="F3:F4"/>
    <mergeCell ref="L3:L4"/>
    <mergeCell ref="M3:M4"/>
    <mergeCell ref="P3:P4"/>
    <mergeCell ref="N3:N4"/>
    <mergeCell ref="K3:K4"/>
    <mergeCell ref="J3:J4"/>
    <mergeCell ref="I3:I4"/>
    <mergeCell ref="G3:G4"/>
    <mergeCell ref="H3:H4"/>
    <mergeCell ref="O3:O4"/>
    <mergeCell ref="R14:R17"/>
    <mergeCell ref="S14:S17"/>
    <mergeCell ref="T14:T17"/>
    <mergeCell ref="AK19:AM19"/>
    <mergeCell ref="C53:F53"/>
    <mergeCell ref="C54:F54"/>
    <mergeCell ref="C55:F55"/>
    <mergeCell ref="C56:F56"/>
    <mergeCell ref="C58:F58"/>
    <mergeCell ref="C59:F59"/>
    <mergeCell ref="AN85:AP85"/>
    <mergeCell ref="AN86:AP86"/>
    <mergeCell ref="AN75:AP75"/>
    <mergeCell ref="AN76:AP76"/>
    <mergeCell ref="AN77:AP77"/>
    <mergeCell ref="AN78:AP78"/>
    <mergeCell ref="AN79:AP79"/>
    <mergeCell ref="AN80:AP80"/>
    <mergeCell ref="AN81:AP81"/>
    <mergeCell ref="AN82:AP82"/>
    <mergeCell ref="AN83:AP83"/>
    <mergeCell ref="AN84:AP84"/>
    <mergeCell ref="H62:J62"/>
    <mergeCell ref="H68:J68"/>
    <mergeCell ref="H63:J63"/>
    <mergeCell ref="H64:J64"/>
    <mergeCell ref="H65:J65"/>
    <mergeCell ref="H66:J66"/>
    <mergeCell ref="B66:B68"/>
    <mergeCell ref="C66:F66"/>
    <mergeCell ref="C67:F67"/>
    <mergeCell ref="C68:F68"/>
    <mergeCell ref="B63:B65"/>
    <mergeCell ref="C63:F63"/>
    <mergeCell ref="C64:F64"/>
    <mergeCell ref="C65:F65"/>
    <mergeCell ref="B54:B56"/>
    <mergeCell ref="B57:B59"/>
    <mergeCell ref="B60:B62"/>
    <mergeCell ref="C60:F60"/>
    <mergeCell ref="C61:F61"/>
    <mergeCell ref="C62:F62"/>
    <mergeCell ref="C57:F57"/>
    <mergeCell ref="AN102:AP102"/>
    <mergeCell ref="AN103:AP103"/>
    <mergeCell ref="AN89:AP89"/>
    <mergeCell ref="AN90:AP90"/>
    <mergeCell ref="AN91:AP91"/>
    <mergeCell ref="AN92:AP92"/>
    <mergeCell ref="AQ94:AS94"/>
    <mergeCell ref="AT76:AV76"/>
    <mergeCell ref="AT77:AV77"/>
    <mergeCell ref="AT78:AV78"/>
    <mergeCell ref="AT79:AV79"/>
    <mergeCell ref="AT80:AV80"/>
    <mergeCell ref="AT81:AV81"/>
    <mergeCell ref="AT82:AV82"/>
    <mergeCell ref="AT83:AV83"/>
    <mergeCell ref="AT84:AV84"/>
    <mergeCell ref="AT103:AV103"/>
    <mergeCell ref="AT85:AV85"/>
    <mergeCell ref="AT86:AV86"/>
    <mergeCell ref="AT96:AV96"/>
    <mergeCell ref="AQ79:AS79"/>
    <mergeCell ref="AQ80:AS80"/>
    <mergeCell ref="AQ81:AS81"/>
    <mergeCell ref="AQ82:AS82"/>
    <mergeCell ref="AQ101:AS101"/>
    <mergeCell ref="AQ102:AS102"/>
    <mergeCell ref="AQ103:AS103"/>
    <mergeCell ref="AQ104:AS104"/>
    <mergeCell ref="AQ97:AS97"/>
    <mergeCell ref="AQ98:AS98"/>
    <mergeCell ref="H53:J53"/>
    <mergeCell ref="H54:J54"/>
    <mergeCell ref="H55:J55"/>
    <mergeCell ref="H56:J56"/>
    <mergeCell ref="H57:J57"/>
    <mergeCell ref="H58:J58"/>
    <mergeCell ref="H59:J59"/>
    <mergeCell ref="H60:J60"/>
    <mergeCell ref="H61:J61"/>
    <mergeCell ref="AQ99:AS99"/>
    <mergeCell ref="AN99:AP99"/>
    <mergeCell ref="AQ95:AS95"/>
    <mergeCell ref="AQ89:AS89"/>
    <mergeCell ref="AQ90:AS90"/>
    <mergeCell ref="AQ91:AS91"/>
    <mergeCell ref="AQ96:AS96"/>
    <mergeCell ref="AN100:AP100"/>
    <mergeCell ref="AN101:AP101"/>
    <mergeCell ref="AN110:AP110"/>
    <mergeCell ref="AQ110:AS110"/>
    <mergeCell ref="AT110:AV110"/>
    <mergeCell ref="AN111:AP111"/>
    <mergeCell ref="AQ111:AS111"/>
    <mergeCell ref="AT111:AV111"/>
    <mergeCell ref="H67:J67"/>
    <mergeCell ref="AN108:AP108"/>
    <mergeCell ref="AN109:AP109"/>
    <mergeCell ref="AQ108:AS108"/>
    <mergeCell ref="AQ109:AS109"/>
    <mergeCell ref="AT108:AV108"/>
    <mergeCell ref="AT109:AV109"/>
    <mergeCell ref="AT105:AV105"/>
    <mergeCell ref="AT106:AV106"/>
    <mergeCell ref="AT107:AV107"/>
    <mergeCell ref="AQ107:AS107"/>
    <mergeCell ref="AN107:AP107"/>
    <mergeCell ref="AQ105:AS105"/>
    <mergeCell ref="AQ106:AS106"/>
    <mergeCell ref="AN104:AP104"/>
    <mergeCell ref="AN105:AP105"/>
    <mergeCell ref="AN106:AP106"/>
    <mergeCell ref="AQ100:AS100"/>
  </mergeCells>
  <conditionalFormatting sqref="K5:K38">
    <cfRule type="cellIs" dxfId="19" priority="16" operator="equal">
      <formula>1</formula>
    </cfRule>
    <cfRule type="cellIs" dxfId="18" priority="32" operator="greaterThan">
      <formula>1</formula>
    </cfRule>
  </conditionalFormatting>
  <conditionalFormatting sqref="U18:U22">
    <cfRule type="cellIs" dxfId="17" priority="10" operator="equal">
      <formula>1</formula>
    </cfRule>
    <cfRule type="cellIs" dxfId="16" priority="11" operator="equal">
      <formula>""</formula>
    </cfRule>
    <cfRule type="cellIs" dxfId="15" priority="28" operator="greaterThan">
      <formula>1</formula>
    </cfRule>
  </conditionalFormatting>
  <conditionalFormatting sqref="H5:H38">
    <cfRule type="cellIs" dxfId="14" priority="17" operator="equal">
      <formula>1</formula>
    </cfRule>
    <cfRule type="cellIs" dxfId="13" priority="18" operator="greaterThan">
      <formula>1</formula>
    </cfRule>
  </conditionalFormatting>
  <conditionalFormatting sqref="H5 H7 H9 H11 H13 H15 H17 H19 H21 H23 H25 H27 H29 H31 H33 H35 H37">
    <cfRule type="cellIs" dxfId="12" priority="15" operator="equal">
      <formula>""</formula>
    </cfRule>
  </conditionalFormatting>
  <conditionalFormatting sqref="H6 H8 H10 H12 H14 H16 H18 H20 H22 H24 H26 H28 H30 H32 H34 H36 H38">
    <cfRule type="cellIs" dxfId="11" priority="14" operator="equal">
      <formula>""</formula>
    </cfRule>
  </conditionalFormatting>
  <conditionalFormatting sqref="K5 K7 K9 K11 K13 K15 K17 K19 K21 K23 K25 K27 K29 K31 K33 K35 K37">
    <cfRule type="cellIs" dxfId="10" priority="13" operator="equal">
      <formula>""</formula>
    </cfRule>
  </conditionalFormatting>
  <conditionalFormatting sqref="K6 K8 K10 K12 K14 K16 K18 K20 K22 K24 K26 K28 K30 K32 K34 K36 K38">
    <cfRule type="cellIs" dxfId="9" priority="12" operator="equal">
      <formula>""</formula>
    </cfRule>
  </conditionalFormatting>
  <conditionalFormatting sqref="AM21:AM60 AP21:AP60 AS21:AS60 AV21:AV60 AY21:AY60 BB21:BB60 BE21:BE60 BH21:BH60 BK21:BK60 BN21:BN60">
    <cfRule type="containsText" dxfId="8" priority="9" operator="containsText" text="YES">
      <formula>NOT(ISERROR(SEARCH("YES",AM21)))</formula>
    </cfRule>
  </conditionalFormatting>
  <conditionalFormatting sqref="K39:K40">
    <cfRule type="cellIs" dxfId="7" priority="5" operator="equal">
      <formula>1</formula>
    </cfRule>
    <cfRule type="cellIs" dxfId="6" priority="8" operator="greaterThan">
      <formula>1</formula>
    </cfRule>
  </conditionalFormatting>
  <conditionalFormatting sqref="H39:H40">
    <cfRule type="cellIs" dxfId="5" priority="6" operator="equal">
      <formula>1</formula>
    </cfRule>
    <cfRule type="cellIs" dxfId="4" priority="7" operator="greaterThan">
      <formula>1</formula>
    </cfRule>
  </conditionalFormatting>
  <conditionalFormatting sqref="H39">
    <cfRule type="cellIs" dxfId="3" priority="4" operator="equal">
      <formula>""</formula>
    </cfRule>
  </conditionalFormatting>
  <conditionalFormatting sqref="H40">
    <cfRule type="cellIs" dxfId="2" priority="3" operator="equal">
      <formula>""</formula>
    </cfRule>
  </conditionalFormatting>
  <conditionalFormatting sqref="K39">
    <cfRule type="cellIs" dxfId="1" priority="2" operator="equal">
      <formula>""</formula>
    </cfRule>
  </conditionalFormatting>
  <conditionalFormatting sqref="K40">
    <cfRule type="cellIs" dxfId="0" priority="1" operator="equal">
      <formula>""</formula>
    </cfRule>
  </conditionalFormatting>
  <dataValidations count="1">
    <dataValidation type="custom" allowBlank="1" showInputMessage="1" showErrorMessage="1" error="Insert multiple of 3" sqref="V18:V22">
      <formula1>INT(V18/3)=V18/3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QuickAlchemy">
                <anchor moveWithCells="1" sizeWithCells="1">
                  <from>
                    <xdr:col>17</xdr:col>
                    <xdr:colOff>9525</xdr:colOff>
                    <xdr:row>24</xdr:row>
                    <xdr:rowOff>9525</xdr:rowOff>
                  </from>
                  <to>
                    <xdr:col>18</xdr:col>
                    <xdr:colOff>9525</xdr:colOff>
                    <xdr:row>26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StartTurn">
                <anchor moveWithCells="1" sizeWithCells="1">
                  <from>
                    <xdr:col>19</xdr:col>
                    <xdr:colOff>9525</xdr:colOff>
                    <xdr:row>24</xdr:row>
                    <xdr:rowOff>9525</xdr:rowOff>
                  </from>
                  <to>
                    <xdr:col>21</xdr:col>
                    <xdr:colOff>0</xdr:colOff>
                    <xdr:row>26</xdr:row>
                    <xdr:rowOff>180975</xdr:rowOff>
                  </to>
                </anchor>
              </controlPr>
            </control>
          </mc:Choice>
        </mc:AlternateContent>
        <mc:AlternateContent xmlns:mc="http://schemas.openxmlformats.org/markup-compatibility/2006">
          <mc:Choice Requires="x14">
            <control shapeId="2053" r:id="rId6" name="Button 5">
              <controlPr defaultSize="0" print="0" autoFill="0" autoPict="0" macro="[0]!EndTurn">
                <anchor moveWithCells="1" sizeWithCells="1">
                  <from>
                    <xdr:col>19</xdr:col>
                    <xdr:colOff>9525</xdr:colOff>
                    <xdr:row>28</xdr:row>
                    <xdr:rowOff>9525</xdr:rowOff>
                  </from>
                  <to>
                    <xdr:col>21</xdr:col>
                    <xdr:colOff>0</xdr:colOff>
                    <xdr:row>30</xdr:row>
                    <xdr:rowOff>180975</xdr:rowOff>
                  </to>
                </anchor>
              </controlPr>
            </control>
          </mc:Choice>
        </mc:AlternateContent>
        <mc:AlternateContent xmlns:mc="http://schemas.openxmlformats.org/markup-compatibility/2006">
          <mc:Choice Requires="x14">
            <control shapeId="2054" r:id="rId7" name="Button 6">
              <controlPr defaultSize="0" print="0" autoFill="0" autoPict="0" macro="[0]!EndBattle">
                <anchor moveWithCells="1" sizeWithCells="1">
                  <from>
                    <xdr:col>19</xdr:col>
                    <xdr:colOff>9525</xdr:colOff>
                    <xdr:row>32</xdr:row>
                    <xdr:rowOff>0</xdr:rowOff>
                  </from>
                  <to>
                    <xdr:col>21</xdr:col>
                    <xdr:colOff>0</xdr:colOff>
                    <xdr:row>34</xdr:row>
                    <xdr:rowOff>180975</xdr:rowOff>
                  </to>
                </anchor>
              </controlPr>
            </control>
          </mc:Choice>
        </mc:AlternateContent>
        <mc:AlternateContent xmlns:mc="http://schemas.openxmlformats.org/markup-compatibility/2006">
          <mc:Choice Requires="x14">
            <control shapeId="2113" r:id="rId8" name="Button 65">
              <controlPr defaultSize="0" print="0" autoFill="0" autoPict="0" macro="[0]!Progress1">
                <anchor moveWithCells="1" sizeWithCells="1">
                  <from>
                    <xdr:col>12</xdr:col>
                    <xdr:colOff>9525</xdr:colOff>
                    <xdr:row>53</xdr:row>
                    <xdr:rowOff>0</xdr:rowOff>
                  </from>
                  <to>
                    <xdr:col>13</xdr:col>
                    <xdr:colOff>0</xdr:colOff>
                    <xdr:row>54</xdr:row>
                    <xdr:rowOff>0</xdr:rowOff>
                  </to>
                </anchor>
              </controlPr>
            </control>
          </mc:Choice>
        </mc:AlternateContent>
        <mc:AlternateContent xmlns:mc="http://schemas.openxmlformats.org/markup-compatibility/2006">
          <mc:Choice Requires="x14">
            <control shapeId="2114" r:id="rId9" name="Button 66">
              <controlPr defaultSize="0" print="0" autoFill="0" autoPict="0" macro="[0]!Progress2">
                <anchor moveWithCells="1" sizeWithCells="1">
                  <from>
                    <xdr:col>12</xdr:col>
                    <xdr:colOff>9525</xdr:colOff>
                    <xdr:row>54</xdr:row>
                    <xdr:rowOff>0</xdr:rowOff>
                  </from>
                  <to>
                    <xdr:col>13</xdr:col>
                    <xdr:colOff>0</xdr:colOff>
                    <xdr:row>55</xdr:row>
                    <xdr:rowOff>0</xdr:rowOff>
                  </to>
                </anchor>
              </controlPr>
            </control>
          </mc:Choice>
        </mc:AlternateContent>
        <mc:AlternateContent xmlns:mc="http://schemas.openxmlformats.org/markup-compatibility/2006">
          <mc:Choice Requires="x14">
            <control shapeId="2115" r:id="rId10" name="Button 67">
              <controlPr defaultSize="0" print="0" autoFill="0" autoPict="0" macro="[0]!Progress3">
                <anchor moveWithCells="1" sizeWithCells="1">
                  <from>
                    <xdr:col>12</xdr:col>
                    <xdr:colOff>9525</xdr:colOff>
                    <xdr:row>55</xdr:row>
                    <xdr:rowOff>0</xdr:rowOff>
                  </from>
                  <to>
                    <xdr:col>13</xdr:col>
                    <xdr:colOff>0</xdr:colOff>
                    <xdr:row>56</xdr:row>
                    <xdr:rowOff>0</xdr:rowOff>
                  </to>
                </anchor>
              </controlPr>
            </control>
          </mc:Choice>
        </mc:AlternateContent>
        <mc:AlternateContent xmlns:mc="http://schemas.openxmlformats.org/markup-compatibility/2006">
          <mc:Choice Requires="x14">
            <control shapeId="2116" r:id="rId11" name="Button 68">
              <controlPr defaultSize="0" print="0" autoFill="0" autoPict="0" macro="[0]!Progress4">
                <anchor moveWithCells="1" sizeWithCells="1">
                  <from>
                    <xdr:col>12</xdr:col>
                    <xdr:colOff>9525</xdr:colOff>
                    <xdr:row>56</xdr:row>
                    <xdr:rowOff>0</xdr:rowOff>
                  </from>
                  <to>
                    <xdr:col>13</xdr:col>
                    <xdr:colOff>0</xdr:colOff>
                    <xdr:row>57</xdr:row>
                    <xdr:rowOff>0</xdr:rowOff>
                  </to>
                </anchor>
              </controlPr>
            </control>
          </mc:Choice>
        </mc:AlternateContent>
        <mc:AlternateContent xmlns:mc="http://schemas.openxmlformats.org/markup-compatibility/2006">
          <mc:Choice Requires="x14">
            <control shapeId="2117" r:id="rId12" name="Button 69">
              <controlPr defaultSize="0" print="0" autoFill="0" autoPict="0" macro="[0]!Progress5">
                <anchor moveWithCells="1" sizeWithCells="1">
                  <from>
                    <xdr:col>12</xdr:col>
                    <xdr:colOff>9525</xdr:colOff>
                    <xdr:row>57</xdr:row>
                    <xdr:rowOff>0</xdr:rowOff>
                  </from>
                  <to>
                    <xdr:col>13</xdr:col>
                    <xdr:colOff>0</xdr:colOff>
                    <xdr:row>58</xdr:row>
                    <xdr:rowOff>0</xdr:rowOff>
                  </to>
                </anchor>
              </controlPr>
            </control>
          </mc:Choice>
        </mc:AlternateContent>
        <mc:AlternateContent xmlns:mc="http://schemas.openxmlformats.org/markup-compatibility/2006">
          <mc:Choice Requires="x14">
            <control shapeId="2118" r:id="rId13" name="Button 70">
              <controlPr defaultSize="0" print="0" autoFill="0" autoPict="0" macro="[0]!Progress6">
                <anchor moveWithCells="1" sizeWithCells="1">
                  <from>
                    <xdr:col>12</xdr:col>
                    <xdr:colOff>9525</xdr:colOff>
                    <xdr:row>58</xdr:row>
                    <xdr:rowOff>0</xdr:rowOff>
                  </from>
                  <to>
                    <xdr:col>13</xdr:col>
                    <xdr:colOff>0</xdr:colOff>
                    <xdr:row>59</xdr:row>
                    <xdr:rowOff>0</xdr:rowOff>
                  </to>
                </anchor>
              </controlPr>
            </control>
          </mc:Choice>
        </mc:AlternateContent>
        <mc:AlternateContent xmlns:mc="http://schemas.openxmlformats.org/markup-compatibility/2006">
          <mc:Choice Requires="x14">
            <control shapeId="2119" r:id="rId14" name="Button 71">
              <controlPr defaultSize="0" print="0" autoFill="0" autoPict="0" macro="[0]!Progress7">
                <anchor moveWithCells="1" sizeWithCells="1">
                  <from>
                    <xdr:col>12</xdr:col>
                    <xdr:colOff>9525</xdr:colOff>
                    <xdr:row>59</xdr:row>
                    <xdr:rowOff>0</xdr:rowOff>
                  </from>
                  <to>
                    <xdr:col>13</xdr:col>
                    <xdr:colOff>0</xdr:colOff>
                    <xdr:row>60</xdr:row>
                    <xdr:rowOff>0</xdr:rowOff>
                  </to>
                </anchor>
              </controlPr>
            </control>
          </mc:Choice>
        </mc:AlternateContent>
        <mc:AlternateContent xmlns:mc="http://schemas.openxmlformats.org/markup-compatibility/2006">
          <mc:Choice Requires="x14">
            <control shapeId="2120" r:id="rId15" name="Button 72">
              <controlPr defaultSize="0" print="0" autoFill="0" autoPict="0" macro="[0]!Progress8">
                <anchor moveWithCells="1" sizeWithCells="1">
                  <from>
                    <xdr:col>12</xdr:col>
                    <xdr:colOff>9525</xdr:colOff>
                    <xdr:row>60</xdr:row>
                    <xdr:rowOff>0</xdr:rowOff>
                  </from>
                  <to>
                    <xdr:col>13</xdr:col>
                    <xdr:colOff>0</xdr:colOff>
                    <xdr:row>61</xdr:row>
                    <xdr:rowOff>0</xdr:rowOff>
                  </to>
                </anchor>
              </controlPr>
            </control>
          </mc:Choice>
        </mc:AlternateContent>
        <mc:AlternateContent xmlns:mc="http://schemas.openxmlformats.org/markup-compatibility/2006">
          <mc:Choice Requires="x14">
            <control shapeId="2121" r:id="rId16" name="Button 73">
              <controlPr defaultSize="0" print="0" autoFill="0" autoPict="0" macro="[0]!Progress9">
                <anchor moveWithCells="1" sizeWithCells="1">
                  <from>
                    <xdr:col>12</xdr:col>
                    <xdr:colOff>9525</xdr:colOff>
                    <xdr:row>61</xdr:row>
                    <xdr:rowOff>0</xdr:rowOff>
                  </from>
                  <to>
                    <xdr:col>13</xdr:col>
                    <xdr:colOff>0</xdr:colOff>
                    <xdr:row>62</xdr:row>
                    <xdr:rowOff>0</xdr:rowOff>
                  </to>
                </anchor>
              </controlPr>
            </control>
          </mc:Choice>
        </mc:AlternateContent>
        <mc:AlternateContent xmlns:mc="http://schemas.openxmlformats.org/markup-compatibility/2006">
          <mc:Choice Requires="x14">
            <control shapeId="2122" r:id="rId17" name="Button 74">
              <controlPr defaultSize="0" print="0" autoFill="0" autoPict="0" macro="[0]!Progress10">
                <anchor moveWithCells="1" sizeWithCells="1">
                  <from>
                    <xdr:col>12</xdr:col>
                    <xdr:colOff>9525</xdr:colOff>
                    <xdr:row>62</xdr:row>
                    <xdr:rowOff>0</xdr:rowOff>
                  </from>
                  <to>
                    <xdr:col>13</xdr:col>
                    <xdr:colOff>0</xdr:colOff>
                    <xdr:row>63</xdr:row>
                    <xdr:rowOff>0</xdr:rowOff>
                  </to>
                </anchor>
              </controlPr>
            </control>
          </mc:Choice>
        </mc:AlternateContent>
        <mc:AlternateContent xmlns:mc="http://schemas.openxmlformats.org/markup-compatibility/2006">
          <mc:Choice Requires="x14">
            <control shapeId="2123" r:id="rId18" name="Button 75">
              <controlPr defaultSize="0" print="0" autoFill="0" autoPict="0" macro="[0]!Progress11">
                <anchor moveWithCells="1" sizeWithCells="1">
                  <from>
                    <xdr:col>12</xdr:col>
                    <xdr:colOff>9525</xdr:colOff>
                    <xdr:row>63</xdr:row>
                    <xdr:rowOff>0</xdr:rowOff>
                  </from>
                  <to>
                    <xdr:col>13</xdr:col>
                    <xdr:colOff>0</xdr:colOff>
                    <xdr:row>64</xdr:row>
                    <xdr:rowOff>0</xdr:rowOff>
                  </to>
                </anchor>
              </controlPr>
            </control>
          </mc:Choice>
        </mc:AlternateContent>
        <mc:AlternateContent xmlns:mc="http://schemas.openxmlformats.org/markup-compatibility/2006">
          <mc:Choice Requires="x14">
            <control shapeId="2124" r:id="rId19" name="Button 76">
              <controlPr defaultSize="0" print="0" autoFill="0" autoPict="0" macro="[0]!Progress12">
                <anchor moveWithCells="1" sizeWithCells="1">
                  <from>
                    <xdr:col>12</xdr:col>
                    <xdr:colOff>9525</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2125" r:id="rId20" name="Button 77">
              <controlPr defaultSize="0" print="0" autoFill="0" autoPict="0" macro="[0]!Progress13">
                <anchor moveWithCells="1" sizeWithCells="1">
                  <from>
                    <xdr:col>12</xdr:col>
                    <xdr:colOff>9525</xdr:colOff>
                    <xdr:row>65</xdr:row>
                    <xdr:rowOff>0</xdr:rowOff>
                  </from>
                  <to>
                    <xdr:col>13</xdr:col>
                    <xdr:colOff>0</xdr:colOff>
                    <xdr:row>66</xdr:row>
                    <xdr:rowOff>0</xdr:rowOff>
                  </to>
                </anchor>
              </controlPr>
            </control>
          </mc:Choice>
        </mc:AlternateContent>
        <mc:AlternateContent xmlns:mc="http://schemas.openxmlformats.org/markup-compatibility/2006">
          <mc:Choice Requires="x14">
            <control shapeId="2126" r:id="rId21" name="Button 78">
              <controlPr defaultSize="0" print="0" autoFill="0" autoPict="0" macro="[0]!Progress14">
                <anchor moveWithCells="1" sizeWithCells="1">
                  <from>
                    <xdr:col>12</xdr:col>
                    <xdr:colOff>9525</xdr:colOff>
                    <xdr:row>66</xdr:row>
                    <xdr:rowOff>0</xdr:rowOff>
                  </from>
                  <to>
                    <xdr:col>13</xdr:col>
                    <xdr:colOff>0</xdr:colOff>
                    <xdr:row>67</xdr:row>
                    <xdr:rowOff>0</xdr:rowOff>
                  </to>
                </anchor>
              </controlPr>
            </control>
          </mc:Choice>
        </mc:AlternateContent>
        <mc:AlternateContent xmlns:mc="http://schemas.openxmlformats.org/markup-compatibility/2006">
          <mc:Choice Requires="x14">
            <control shapeId="2127" r:id="rId22" name="Button 79">
              <controlPr defaultSize="0" print="0" autoFill="0" autoPict="0" macro="[0]!Progress15">
                <anchor moveWithCells="1" sizeWithCells="1">
                  <from>
                    <xdr:col>12</xdr:col>
                    <xdr:colOff>9525</xdr:colOff>
                    <xdr:row>67</xdr:row>
                    <xdr:rowOff>0</xdr:rowOff>
                  </from>
                  <to>
                    <xdr:col>13</xdr:col>
                    <xdr:colOff>0</xdr:colOff>
                    <xdr:row>68</xdr:row>
                    <xdr:rowOff>0</xdr:rowOff>
                  </to>
                </anchor>
              </controlPr>
            </control>
          </mc:Choice>
        </mc:AlternateContent>
        <mc:AlternateContent xmlns:mc="http://schemas.openxmlformats.org/markup-compatibility/2006">
          <mc:Choice Requires="x14">
            <control shapeId="2128" r:id="rId23" name="Button 80">
              <controlPr defaultSize="0" print="0" autoFill="0" autoPict="0" macro="[0]!PoisonInitial">
                <anchor moveWithCells="1" sizeWithCells="1">
                  <from>
                    <xdr:col>11</xdr:col>
                    <xdr:colOff>9525</xdr:colOff>
                    <xdr:row>53</xdr:row>
                    <xdr:rowOff>0</xdr:rowOff>
                  </from>
                  <to>
                    <xdr:col>12</xdr:col>
                    <xdr:colOff>0</xdr:colOff>
                    <xdr:row>54</xdr:row>
                    <xdr:rowOff>0</xdr:rowOff>
                  </to>
                </anchor>
              </controlPr>
            </control>
          </mc:Choice>
        </mc:AlternateContent>
        <mc:AlternateContent xmlns:mc="http://schemas.openxmlformats.org/markup-compatibility/2006">
          <mc:Choice Requires="x14">
            <control shapeId="2129" r:id="rId24" name="Button 81">
              <controlPr defaultSize="0" print="0" autoFill="0" autoPict="0" macro="[0]!Poison2">
                <anchor moveWithCells="1" sizeWithCells="1">
                  <from>
                    <xdr:col>11</xdr:col>
                    <xdr:colOff>9525</xdr:colOff>
                    <xdr:row>54</xdr:row>
                    <xdr:rowOff>0</xdr:rowOff>
                  </from>
                  <to>
                    <xdr:col>12</xdr:col>
                    <xdr:colOff>0</xdr:colOff>
                    <xdr:row>55</xdr:row>
                    <xdr:rowOff>0</xdr:rowOff>
                  </to>
                </anchor>
              </controlPr>
            </control>
          </mc:Choice>
        </mc:AlternateContent>
        <mc:AlternateContent xmlns:mc="http://schemas.openxmlformats.org/markup-compatibility/2006">
          <mc:Choice Requires="x14">
            <control shapeId="2130" r:id="rId25" name="Button 82">
              <controlPr defaultSize="0" print="0" autoFill="0" autoPict="0" macro="[0]!Poison3">
                <anchor moveWithCells="1" sizeWithCells="1">
                  <from>
                    <xdr:col>11</xdr:col>
                    <xdr:colOff>9525</xdr:colOff>
                    <xdr:row>55</xdr:row>
                    <xdr:rowOff>0</xdr:rowOff>
                  </from>
                  <to>
                    <xdr:col>12</xdr:col>
                    <xdr:colOff>0</xdr:colOff>
                    <xdr:row>56</xdr:row>
                    <xdr:rowOff>0</xdr:rowOff>
                  </to>
                </anchor>
              </controlPr>
            </control>
          </mc:Choice>
        </mc:AlternateContent>
        <mc:AlternateContent xmlns:mc="http://schemas.openxmlformats.org/markup-compatibility/2006">
          <mc:Choice Requires="x14">
            <control shapeId="2131" r:id="rId26" name="Button 83">
              <controlPr defaultSize="0" print="0" autoFill="0" autoPict="0" macro="[0]!Poison4">
                <anchor moveWithCells="1" sizeWithCells="1">
                  <from>
                    <xdr:col>11</xdr:col>
                    <xdr:colOff>9525</xdr:colOff>
                    <xdr:row>56</xdr:row>
                    <xdr:rowOff>0</xdr:rowOff>
                  </from>
                  <to>
                    <xdr:col>12</xdr:col>
                    <xdr:colOff>0</xdr:colOff>
                    <xdr:row>57</xdr:row>
                    <xdr:rowOff>0</xdr:rowOff>
                  </to>
                </anchor>
              </controlPr>
            </control>
          </mc:Choice>
        </mc:AlternateContent>
        <mc:AlternateContent xmlns:mc="http://schemas.openxmlformats.org/markup-compatibility/2006">
          <mc:Choice Requires="x14">
            <control shapeId="2132" r:id="rId27" name="Button 84">
              <controlPr defaultSize="0" print="0" autoFill="0" autoPict="0" macro="[0]!Poison5">
                <anchor moveWithCells="1" sizeWithCells="1">
                  <from>
                    <xdr:col>11</xdr:col>
                    <xdr:colOff>9525</xdr:colOff>
                    <xdr:row>57</xdr:row>
                    <xdr:rowOff>0</xdr:rowOff>
                  </from>
                  <to>
                    <xdr:col>12</xdr:col>
                    <xdr:colOff>0</xdr:colOff>
                    <xdr:row>58</xdr:row>
                    <xdr:rowOff>0</xdr:rowOff>
                  </to>
                </anchor>
              </controlPr>
            </control>
          </mc:Choice>
        </mc:AlternateContent>
        <mc:AlternateContent xmlns:mc="http://schemas.openxmlformats.org/markup-compatibility/2006">
          <mc:Choice Requires="x14">
            <control shapeId="2133" r:id="rId28" name="Button 85">
              <controlPr defaultSize="0" print="0" autoFill="0" autoPict="0" macro="[0]!Poison6">
                <anchor moveWithCells="1" sizeWithCells="1">
                  <from>
                    <xdr:col>11</xdr:col>
                    <xdr:colOff>9525</xdr:colOff>
                    <xdr:row>58</xdr:row>
                    <xdr:rowOff>0</xdr:rowOff>
                  </from>
                  <to>
                    <xdr:col>12</xdr:col>
                    <xdr:colOff>0</xdr:colOff>
                    <xdr:row>59</xdr:row>
                    <xdr:rowOff>0</xdr:rowOff>
                  </to>
                </anchor>
              </controlPr>
            </control>
          </mc:Choice>
        </mc:AlternateContent>
        <mc:AlternateContent xmlns:mc="http://schemas.openxmlformats.org/markup-compatibility/2006">
          <mc:Choice Requires="x14">
            <control shapeId="2134" r:id="rId29" name="Button 86">
              <controlPr defaultSize="0" print="0" autoFill="0" autoPict="0" macro="[0]!Poison7">
                <anchor moveWithCells="1" sizeWithCells="1">
                  <from>
                    <xdr:col>11</xdr:col>
                    <xdr:colOff>9525</xdr:colOff>
                    <xdr:row>59</xdr:row>
                    <xdr:rowOff>0</xdr:rowOff>
                  </from>
                  <to>
                    <xdr:col>12</xdr:col>
                    <xdr:colOff>0</xdr:colOff>
                    <xdr:row>60</xdr:row>
                    <xdr:rowOff>0</xdr:rowOff>
                  </to>
                </anchor>
              </controlPr>
            </control>
          </mc:Choice>
        </mc:AlternateContent>
        <mc:AlternateContent xmlns:mc="http://schemas.openxmlformats.org/markup-compatibility/2006">
          <mc:Choice Requires="x14">
            <control shapeId="2135" r:id="rId30" name="Button 87">
              <controlPr defaultSize="0" print="0" autoFill="0" autoPict="0" macro="[0]!Poison8">
                <anchor moveWithCells="1" sizeWithCells="1">
                  <from>
                    <xdr:col>11</xdr:col>
                    <xdr:colOff>9525</xdr:colOff>
                    <xdr:row>60</xdr:row>
                    <xdr:rowOff>0</xdr:rowOff>
                  </from>
                  <to>
                    <xdr:col>12</xdr:col>
                    <xdr:colOff>0</xdr:colOff>
                    <xdr:row>61</xdr:row>
                    <xdr:rowOff>0</xdr:rowOff>
                  </to>
                </anchor>
              </controlPr>
            </control>
          </mc:Choice>
        </mc:AlternateContent>
        <mc:AlternateContent xmlns:mc="http://schemas.openxmlformats.org/markup-compatibility/2006">
          <mc:Choice Requires="x14">
            <control shapeId="2136" r:id="rId31" name="Button 88">
              <controlPr defaultSize="0" print="0" autoFill="0" autoPict="0" macro="[0]!Poison9">
                <anchor moveWithCells="1" sizeWithCells="1">
                  <from>
                    <xdr:col>11</xdr:col>
                    <xdr:colOff>9525</xdr:colOff>
                    <xdr:row>61</xdr:row>
                    <xdr:rowOff>0</xdr:rowOff>
                  </from>
                  <to>
                    <xdr:col>12</xdr:col>
                    <xdr:colOff>0</xdr:colOff>
                    <xdr:row>62</xdr:row>
                    <xdr:rowOff>0</xdr:rowOff>
                  </to>
                </anchor>
              </controlPr>
            </control>
          </mc:Choice>
        </mc:AlternateContent>
        <mc:AlternateContent xmlns:mc="http://schemas.openxmlformats.org/markup-compatibility/2006">
          <mc:Choice Requires="x14">
            <control shapeId="2137" r:id="rId32" name="Button 89">
              <controlPr defaultSize="0" print="0" autoFill="0" autoPict="0" macro="[0]!Poison10">
                <anchor moveWithCells="1" sizeWithCells="1">
                  <from>
                    <xdr:col>11</xdr:col>
                    <xdr:colOff>9525</xdr:colOff>
                    <xdr:row>62</xdr:row>
                    <xdr:rowOff>0</xdr:rowOff>
                  </from>
                  <to>
                    <xdr:col>12</xdr:col>
                    <xdr:colOff>0</xdr:colOff>
                    <xdr:row>63</xdr:row>
                    <xdr:rowOff>0</xdr:rowOff>
                  </to>
                </anchor>
              </controlPr>
            </control>
          </mc:Choice>
        </mc:AlternateContent>
        <mc:AlternateContent xmlns:mc="http://schemas.openxmlformats.org/markup-compatibility/2006">
          <mc:Choice Requires="x14">
            <control shapeId="2138" r:id="rId33" name="Button 90">
              <controlPr defaultSize="0" print="0" autoFill="0" autoPict="0" macro="[0]!Poison11">
                <anchor moveWithCells="1" sizeWithCells="1">
                  <from>
                    <xdr:col>11</xdr:col>
                    <xdr:colOff>9525</xdr:colOff>
                    <xdr:row>63</xdr:row>
                    <xdr:rowOff>0</xdr:rowOff>
                  </from>
                  <to>
                    <xdr:col>12</xdr:col>
                    <xdr:colOff>0</xdr:colOff>
                    <xdr:row>64</xdr:row>
                    <xdr:rowOff>0</xdr:rowOff>
                  </to>
                </anchor>
              </controlPr>
            </control>
          </mc:Choice>
        </mc:AlternateContent>
        <mc:AlternateContent xmlns:mc="http://schemas.openxmlformats.org/markup-compatibility/2006">
          <mc:Choice Requires="x14">
            <control shapeId="2139" r:id="rId34" name="Button 91">
              <controlPr defaultSize="0" print="0" autoFill="0" autoPict="0" macro="[0]!Poison12">
                <anchor moveWithCells="1" sizeWithCells="1">
                  <from>
                    <xdr:col>11</xdr:col>
                    <xdr:colOff>9525</xdr:colOff>
                    <xdr:row>64</xdr:row>
                    <xdr:rowOff>0</xdr:rowOff>
                  </from>
                  <to>
                    <xdr:col>12</xdr:col>
                    <xdr:colOff>0</xdr:colOff>
                    <xdr:row>65</xdr:row>
                    <xdr:rowOff>0</xdr:rowOff>
                  </to>
                </anchor>
              </controlPr>
            </control>
          </mc:Choice>
        </mc:AlternateContent>
        <mc:AlternateContent xmlns:mc="http://schemas.openxmlformats.org/markup-compatibility/2006">
          <mc:Choice Requires="x14">
            <control shapeId="2140" r:id="rId35" name="Button 92">
              <controlPr defaultSize="0" print="0" autoFill="0" autoPict="0" macro="[0]!Poison13">
                <anchor moveWithCells="1" sizeWithCells="1">
                  <from>
                    <xdr:col>11</xdr:col>
                    <xdr:colOff>9525</xdr:colOff>
                    <xdr:row>65</xdr:row>
                    <xdr:rowOff>0</xdr:rowOff>
                  </from>
                  <to>
                    <xdr:col>12</xdr:col>
                    <xdr:colOff>0</xdr:colOff>
                    <xdr:row>66</xdr:row>
                    <xdr:rowOff>0</xdr:rowOff>
                  </to>
                </anchor>
              </controlPr>
            </control>
          </mc:Choice>
        </mc:AlternateContent>
        <mc:AlternateContent xmlns:mc="http://schemas.openxmlformats.org/markup-compatibility/2006">
          <mc:Choice Requires="x14">
            <control shapeId="2141" r:id="rId36" name="Button 93">
              <controlPr defaultSize="0" print="0" autoFill="0" autoPict="0" macro="[0]!Poison14">
                <anchor moveWithCells="1" sizeWithCells="1">
                  <from>
                    <xdr:col>11</xdr:col>
                    <xdr:colOff>9525</xdr:colOff>
                    <xdr:row>66</xdr:row>
                    <xdr:rowOff>0</xdr:rowOff>
                  </from>
                  <to>
                    <xdr:col>12</xdr:col>
                    <xdr:colOff>0</xdr:colOff>
                    <xdr:row>67</xdr:row>
                    <xdr:rowOff>0</xdr:rowOff>
                  </to>
                </anchor>
              </controlPr>
            </control>
          </mc:Choice>
        </mc:AlternateContent>
        <mc:AlternateContent xmlns:mc="http://schemas.openxmlformats.org/markup-compatibility/2006">
          <mc:Choice Requires="x14">
            <control shapeId="2142" r:id="rId37" name="Button 94">
              <controlPr defaultSize="0" print="0" autoFill="0" autoPict="0" macro="[0]!Poison15">
                <anchor moveWithCells="1" sizeWithCells="1">
                  <from>
                    <xdr:col>11</xdr:col>
                    <xdr:colOff>9525</xdr:colOff>
                    <xdr:row>67</xdr:row>
                    <xdr:rowOff>0</xdr:rowOff>
                  </from>
                  <to>
                    <xdr:col>12</xdr:col>
                    <xdr:colOff>0</xdr:colOff>
                    <xdr:row>68</xdr:row>
                    <xdr:rowOff>0</xdr:rowOff>
                  </to>
                </anchor>
              </controlPr>
            </control>
          </mc:Choice>
        </mc:AlternateContent>
        <mc:AlternateContent xmlns:mc="http://schemas.openxmlformats.org/markup-compatibility/2006">
          <mc:Choice Requires="x14">
            <control shapeId="2143" r:id="rId38" name="Button 95">
              <controlPr defaultSize="0" print="0" autoFill="0" autoPict="0" macro="[0]!Combined">
                <anchor moveWithCells="1" sizeWithCells="1">
                  <from>
                    <xdr:col>17</xdr:col>
                    <xdr:colOff>9525</xdr:colOff>
                    <xdr:row>28</xdr:row>
                    <xdr:rowOff>0</xdr:rowOff>
                  </from>
                  <to>
                    <xdr:col>18</xdr:col>
                    <xdr:colOff>0</xdr:colOff>
                    <xdr:row>31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Φύλλο1"/>
  <dimension ref="A1:AU27"/>
  <sheetViews>
    <sheetView zoomScale="80" zoomScaleNormal="80" workbookViewId="0">
      <selection activeCell="C5" sqref="C5:K5"/>
    </sheetView>
  </sheetViews>
  <sheetFormatPr defaultRowHeight="14.25"/>
  <cols>
    <col min="1" max="1" width="10.75" customWidth="1"/>
    <col min="2" max="2" width="11.25" customWidth="1"/>
    <col min="3" max="3" width="27.375" customWidth="1"/>
    <col min="4" max="4" width="50.625" customWidth="1"/>
    <col min="5" max="5" width="10.625" customWidth="1"/>
    <col min="6" max="6" width="13.875" bestFit="1" customWidth="1"/>
    <col min="7" max="9" width="10.625" customWidth="1"/>
    <col min="10" max="10" width="10.625" bestFit="1" customWidth="1"/>
    <col min="11" max="11" width="10.625" customWidth="1"/>
    <col min="12" max="13" width="10" customWidth="1"/>
    <col min="27" max="27" width="10.125" bestFit="1" customWidth="1"/>
  </cols>
  <sheetData>
    <row r="1" spans="1:47">
      <c r="A1" s="83" t="s">
        <v>0</v>
      </c>
      <c r="B1" s="83" t="s">
        <v>301</v>
      </c>
    </row>
    <row r="2" spans="1:47">
      <c r="A2" s="1">
        <f>Character!B4</f>
        <v>15</v>
      </c>
      <c r="B2" s="1" t="s">
        <v>302</v>
      </c>
    </row>
    <row r="3" spans="1:47">
      <c r="B3" s="40">
        <f>IF(B2="Untrained",0,IF(B2="Trained",1,IF(B2="Expert",2,IF(B2="Master",3,IF(B2="Legendary",4,"")))))</f>
        <v>3</v>
      </c>
    </row>
    <row r="4" spans="1:47">
      <c r="AB4" s="40">
        <v>10</v>
      </c>
      <c r="AC4" s="40">
        <v>100</v>
      </c>
      <c r="AD4" s="76"/>
      <c r="AE4" s="76"/>
      <c r="AF4" s="76"/>
      <c r="AG4" s="40">
        <v>10</v>
      </c>
      <c r="AH4" s="40">
        <v>100</v>
      </c>
      <c r="AI4" s="76"/>
      <c r="AJ4" s="76"/>
      <c r="AK4" s="76"/>
      <c r="AL4" s="40">
        <v>10</v>
      </c>
      <c r="AM4" s="40">
        <v>100</v>
      </c>
      <c r="AN4" s="76"/>
      <c r="AO4" s="76"/>
      <c r="AP4" s="76"/>
      <c r="AQ4" s="40">
        <v>10</v>
      </c>
      <c r="AR4" s="40">
        <v>100</v>
      </c>
      <c r="AS4" s="76"/>
      <c r="AT4" s="76"/>
      <c r="AU4" s="76"/>
    </row>
    <row r="5" spans="1:47" ht="28.5">
      <c r="C5" s="206" t="s">
        <v>83</v>
      </c>
      <c r="D5" s="206"/>
      <c r="E5" s="206"/>
      <c r="F5" s="206"/>
      <c r="G5" s="206"/>
      <c r="H5" s="206"/>
      <c r="I5" s="206"/>
      <c r="J5" s="206"/>
      <c r="K5" s="206"/>
      <c r="U5" s="78" t="s">
        <v>303</v>
      </c>
      <c r="V5" s="78" t="s">
        <v>196</v>
      </c>
      <c r="W5" s="78" t="s">
        <v>304</v>
      </c>
      <c r="X5" s="78" t="s">
        <v>305</v>
      </c>
      <c r="Y5" s="78" t="s">
        <v>306</v>
      </c>
      <c r="Z5" s="78" t="s">
        <v>302</v>
      </c>
      <c r="AA5" s="78" t="s">
        <v>307</v>
      </c>
      <c r="AB5" s="204" t="s">
        <v>164</v>
      </c>
      <c r="AC5" s="205"/>
      <c r="AD5" s="205"/>
      <c r="AE5" s="205"/>
      <c r="AF5" s="205"/>
      <c r="AG5" s="205" t="s">
        <v>164</v>
      </c>
      <c r="AH5" s="205"/>
      <c r="AI5" s="205"/>
      <c r="AJ5" s="205"/>
      <c r="AK5" s="205"/>
      <c r="AL5" s="205" t="s">
        <v>164</v>
      </c>
      <c r="AM5" s="205"/>
      <c r="AN5" s="205"/>
      <c r="AO5" s="205"/>
      <c r="AP5" s="205"/>
      <c r="AQ5" s="205" t="s">
        <v>164</v>
      </c>
      <c r="AR5" s="205"/>
      <c r="AS5" s="205"/>
      <c r="AT5" s="205"/>
      <c r="AU5" s="205"/>
    </row>
    <row r="6" spans="1:47">
      <c r="C6" s="79" t="s">
        <v>308</v>
      </c>
      <c r="D6" s="79" t="s">
        <v>309</v>
      </c>
      <c r="E6" s="79" t="s">
        <v>310</v>
      </c>
      <c r="F6" s="79" t="s">
        <v>311</v>
      </c>
      <c r="G6" s="79" t="s">
        <v>312</v>
      </c>
      <c r="H6" s="79" t="s">
        <v>313</v>
      </c>
      <c r="I6" s="79" t="s">
        <v>314</v>
      </c>
      <c r="J6" s="79" t="s">
        <v>315</v>
      </c>
      <c r="K6" s="79" t="s">
        <v>316</v>
      </c>
      <c r="U6" s="25">
        <v>0</v>
      </c>
      <c r="V6" s="25">
        <v>14</v>
      </c>
      <c r="W6" s="80">
        <v>1</v>
      </c>
      <c r="X6" s="80">
        <v>5</v>
      </c>
      <c r="Y6" s="80">
        <v>5</v>
      </c>
      <c r="Z6" s="80">
        <v>5</v>
      </c>
      <c r="AA6" s="80">
        <v>5</v>
      </c>
      <c r="AB6" s="40">
        <f>((((1/100)*10)/10)*10)/10</f>
        <v>0.01</v>
      </c>
      <c r="AC6" s="40">
        <f>((((5/100)*10)/10)*10)/10</f>
        <v>0.05</v>
      </c>
      <c r="AD6" s="40">
        <f>((((5/100)*10)/10)*10)/10</f>
        <v>0.05</v>
      </c>
      <c r="AE6" s="40">
        <f>((((5/100)*10)/10)*10)/10</f>
        <v>0.05</v>
      </c>
      <c r="AF6" s="40">
        <f>((((5/100)*10)/10)*10)/10</f>
        <v>0.05</v>
      </c>
      <c r="AG6" s="70">
        <f>((1/100)*10)/10</f>
        <v>0.01</v>
      </c>
      <c r="AH6" s="70">
        <f>((5/100)*10)/10</f>
        <v>0.05</v>
      </c>
      <c r="AI6" s="70">
        <f>((5/100)*10)/10</f>
        <v>0.05</v>
      </c>
      <c r="AJ6" s="70">
        <f>((5/100)*10)/10</f>
        <v>0.05</v>
      </c>
      <c r="AK6" s="70">
        <f>((5/100)*10)/10</f>
        <v>0.05</v>
      </c>
      <c r="AL6" s="70">
        <f>((1/100)*10)/10</f>
        <v>0.01</v>
      </c>
      <c r="AM6" s="70">
        <f>((5/100)*10)/10</f>
        <v>0.05</v>
      </c>
      <c r="AN6" s="70">
        <f>((5/100)*10)/10</f>
        <v>0.05</v>
      </c>
      <c r="AO6" s="70">
        <f>((5/100)*10)/10</f>
        <v>0.05</v>
      </c>
      <c r="AP6" s="70">
        <f>((5/100)*10)/10</f>
        <v>0.05</v>
      </c>
      <c r="AQ6" s="70">
        <f>((1/100)*10)/10</f>
        <v>0.01</v>
      </c>
      <c r="AR6" s="70">
        <f>((5/100)*10)/10</f>
        <v>0.05</v>
      </c>
      <c r="AS6" s="70">
        <f>((5/100)*10)/10</f>
        <v>0.05</v>
      </c>
      <c r="AT6" s="70">
        <f>((5/100)*10)/10</f>
        <v>0.05</v>
      </c>
      <c r="AU6" s="70">
        <f>((5/100)*10)/10</f>
        <v>0.05</v>
      </c>
    </row>
    <row r="7" spans="1:47">
      <c r="C7" s="3"/>
      <c r="D7" s="3"/>
      <c r="E7" s="3"/>
      <c r="F7" s="3"/>
      <c r="G7" s="85"/>
      <c r="H7" s="85"/>
      <c r="I7" s="85" t="str">
        <f>IF(G7="","",IF(F7="",G7-H7,G7-H7-(IF(F7="Critical Success",INDEX(AC7:AF27,A2+1,B3)*E7,IF(F7="Success",INDEX(AC7:AF27,A2,B3)*E7,0)))))</f>
        <v/>
      </c>
      <c r="J7" s="85" t="str">
        <f>IF(F7="Failure",G7,IF(F7="Critical Failure",G7*0.9,""))</f>
        <v/>
      </c>
      <c r="K7" s="85"/>
      <c r="U7" s="25">
        <v>1</v>
      </c>
      <c r="V7" s="25">
        <v>15</v>
      </c>
      <c r="W7" s="80">
        <v>2</v>
      </c>
      <c r="X7" s="81">
        <v>2</v>
      </c>
      <c r="Y7" s="81">
        <v>2</v>
      </c>
      <c r="Z7" s="81">
        <v>2</v>
      </c>
      <c r="AA7" s="81">
        <v>2</v>
      </c>
      <c r="AB7" s="40">
        <v>0.2</v>
      </c>
      <c r="AC7" s="40">
        <f>((((2/10)*10)/10)*10)/10</f>
        <v>0.2</v>
      </c>
      <c r="AD7" s="40">
        <f>((((2/10)*10)/10)*10)/10</f>
        <v>0.2</v>
      </c>
      <c r="AE7" s="40">
        <f>((((2/10)*10)/10)*10)/10</f>
        <v>0.2</v>
      </c>
      <c r="AF7" s="40">
        <f>((((2/10)*10)/10)*10)/10</f>
        <v>0.2</v>
      </c>
      <c r="AG7" s="70">
        <v>0.2</v>
      </c>
      <c r="AH7" s="70">
        <f>((2/10)*10)/10</f>
        <v>0.2</v>
      </c>
      <c r="AI7" s="70">
        <f>((2/10)*10)/10</f>
        <v>0.2</v>
      </c>
      <c r="AJ7" s="70">
        <f>((2/10)*10)/10</f>
        <v>0.2</v>
      </c>
      <c r="AK7" s="70">
        <f>((2/10)*10)/10</f>
        <v>0.2</v>
      </c>
      <c r="AL7" s="70">
        <v>0.2</v>
      </c>
      <c r="AM7" s="70">
        <f>((2/10)*10)/10</f>
        <v>0.2</v>
      </c>
      <c r="AN7" s="70">
        <f>((2/10)*10)/10</f>
        <v>0.2</v>
      </c>
      <c r="AO7" s="70">
        <f>((2/10)*10)/10</f>
        <v>0.2</v>
      </c>
      <c r="AP7" s="70">
        <f>((2/10)*10)/10</f>
        <v>0.2</v>
      </c>
      <c r="AQ7" s="70">
        <v>0.2</v>
      </c>
      <c r="AR7" s="70">
        <f>((2/10)*10)/10</f>
        <v>0.2</v>
      </c>
      <c r="AS7" s="70">
        <f>((2/10)*10)/10</f>
        <v>0.2</v>
      </c>
      <c r="AT7" s="70">
        <f>((2/10)*10)/10</f>
        <v>0.2</v>
      </c>
      <c r="AU7" s="70">
        <f>((2/10)*10)/10</f>
        <v>0.2</v>
      </c>
    </row>
    <row r="8" spans="1:47">
      <c r="C8" s="3"/>
      <c r="D8" s="3"/>
      <c r="E8" s="3"/>
      <c r="F8" s="3"/>
      <c r="G8" s="3"/>
      <c r="H8" s="3"/>
      <c r="I8" s="3" t="str">
        <f>IF(G8="","",IF(F8="",G8-H8,G8-H8-(IF(F8="Critical Success",INDEX(AH7:AK27,A2+1,B3)*E8,IF(F8="Success",INDEX(AH7:AK27,A2,B3)*E8,0)))))</f>
        <v/>
      </c>
      <c r="J8" s="3" t="str">
        <f>IF(F8="Failure",G8,IF(F8="Critical Failure",G8*0.9,""))</f>
        <v/>
      </c>
      <c r="K8" s="3"/>
      <c r="U8" s="25">
        <v>2</v>
      </c>
      <c r="V8" s="25">
        <v>16</v>
      </c>
      <c r="W8" s="80">
        <v>4</v>
      </c>
      <c r="X8" s="81">
        <v>3</v>
      </c>
      <c r="Y8" s="81">
        <v>3</v>
      </c>
      <c r="Z8" s="81">
        <v>3</v>
      </c>
      <c r="AA8" s="81">
        <v>3</v>
      </c>
      <c r="AB8" s="40">
        <v>0.4</v>
      </c>
      <c r="AC8" s="40">
        <f>((((3/10)*10)/10)*10)/10</f>
        <v>0.3</v>
      </c>
      <c r="AD8" s="40">
        <f>((((3/10)*10)/10)*10)/10</f>
        <v>0.3</v>
      </c>
      <c r="AE8" s="40">
        <f>((((3/10)*10)/10)*10)/10</f>
        <v>0.3</v>
      </c>
      <c r="AF8" s="40">
        <f>((((3/10)*10)/10)*10)/10</f>
        <v>0.3</v>
      </c>
      <c r="AG8" s="70">
        <v>0.4</v>
      </c>
      <c r="AH8" s="70">
        <f>((3/10)*10)/10</f>
        <v>0.3</v>
      </c>
      <c r="AI8" s="70">
        <f>((3/10)*10)/10</f>
        <v>0.3</v>
      </c>
      <c r="AJ8" s="70">
        <f>((3/10)*10)/10</f>
        <v>0.3</v>
      </c>
      <c r="AK8" s="70">
        <f>((3/10)*10)/10</f>
        <v>0.3</v>
      </c>
      <c r="AL8" s="70">
        <v>0.4</v>
      </c>
      <c r="AM8" s="70">
        <f>((3/10)*10)/10</f>
        <v>0.3</v>
      </c>
      <c r="AN8" s="70">
        <f>((3/10)*10)/10</f>
        <v>0.3</v>
      </c>
      <c r="AO8" s="70">
        <f>((3/10)*10)/10</f>
        <v>0.3</v>
      </c>
      <c r="AP8" s="70">
        <f>((3/10)*10)/10</f>
        <v>0.3</v>
      </c>
      <c r="AQ8" s="70">
        <v>0.4</v>
      </c>
      <c r="AR8" s="70">
        <f>((3/10)*10)/10</f>
        <v>0.3</v>
      </c>
      <c r="AS8" s="70">
        <f>((3/10)*10)/10</f>
        <v>0.3</v>
      </c>
      <c r="AT8" s="70">
        <f>((3/10)*10)/10</f>
        <v>0.3</v>
      </c>
      <c r="AU8" s="70">
        <f>((3/10)*10)/10</f>
        <v>0.3</v>
      </c>
    </row>
    <row r="9" spans="1:47">
      <c r="C9" s="3"/>
      <c r="D9" s="3"/>
      <c r="E9" s="3"/>
      <c r="F9" s="3"/>
      <c r="G9" s="3"/>
      <c r="H9" s="3"/>
      <c r="I9" s="3" t="str">
        <f>IF(G9="","",IF(F9="",G9-H9,G9-H9-(IF(F9="Critical Success",INDEX(AM7:AP27,A2+1,B3)*E9,IF(F9="Success",INDEX(AM7:AP27,A2,B3)*E9,0)))))</f>
        <v/>
      </c>
      <c r="J9" s="3" t="str">
        <f>IF(F9="Failure",G9,IF(F9="Critical Failure",G9*0.9,""))</f>
        <v/>
      </c>
      <c r="K9" s="3"/>
      <c r="U9" s="25">
        <v>3</v>
      </c>
      <c r="V9" s="25">
        <v>18</v>
      </c>
      <c r="W9" s="80">
        <v>8</v>
      </c>
      <c r="X9" s="81">
        <v>5</v>
      </c>
      <c r="Y9" s="81">
        <v>5</v>
      </c>
      <c r="Z9" s="81">
        <v>5</v>
      </c>
      <c r="AA9" s="81">
        <v>5</v>
      </c>
      <c r="AB9" s="40">
        <v>0.8</v>
      </c>
      <c r="AC9" s="40">
        <f>((((5/10)*10)/10)*10)/10</f>
        <v>0.5</v>
      </c>
      <c r="AD9" s="40">
        <f>((((5/10)*10)/10)*10)/10</f>
        <v>0.5</v>
      </c>
      <c r="AE9" s="40">
        <f>((((5/10)*10)/10)*10)/10</f>
        <v>0.5</v>
      </c>
      <c r="AF9" s="40">
        <f>((((5/10)*10)/10)*10)/10</f>
        <v>0.5</v>
      </c>
      <c r="AG9" s="70">
        <v>0.8</v>
      </c>
      <c r="AH9" s="70">
        <f>((5/10)*10)/10</f>
        <v>0.5</v>
      </c>
      <c r="AI9" s="70">
        <f>((5/10)*10)/10</f>
        <v>0.5</v>
      </c>
      <c r="AJ9" s="70">
        <f>((5/10)*10)/10</f>
        <v>0.5</v>
      </c>
      <c r="AK9" s="70">
        <f>((5/10)*10)/10</f>
        <v>0.5</v>
      </c>
      <c r="AL9" s="70">
        <v>0.8</v>
      </c>
      <c r="AM9" s="70">
        <f>((5/10)*10)/10</f>
        <v>0.5</v>
      </c>
      <c r="AN9" s="70">
        <f>((5/10)*10)/10</f>
        <v>0.5</v>
      </c>
      <c r="AO9" s="70">
        <f>((5/10)*10)/10</f>
        <v>0.5</v>
      </c>
      <c r="AP9" s="70">
        <f>((5/10)*10)/10</f>
        <v>0.5</v>
      </c>
      <c r="AQ9" s="70">
        <v>0.8</v>
      </c>
      <c r="AR9" s="70">
        <f>((5/10)*10)/10</f>
        <v>0.5</v>
      </c>
      <c r="AS9" s="70">
        <f>((5/10)*10)/10</f>
        <v>0.5</v>
      </c>
      <c r="AT9" s="70">
        <f>((5/10)*10)/10</f>
        <v>0.5</v>
      </c>
      <c r="AU9" s="70">
        <f>((5/10)*10)/10</f>
        <v>0.5</v>
      </c>
    </row>
    <row r="10" spans="1:47">
      <c r="C10" s="3"/>
      <c r="D10" s="3"/>
      <c r="E10" s="3"/>
      <c r="F10" s="3"/>
      <c r="G10" s="3"/>
      <c r="H10" s="3"/>
      <c r="I10" s="3" t="str">
        <f>IF(G10="","",IF(F10="",G10-H10,G10-H10-(IF(F10="Critical Success",INDEX(AR7:AU27,A2+1,B3)*E10,IF(F10="Success",INDEX(AR7:AU27,A2,B3)*E10,0)))))</f>
        <v/>
      </c>
      <c r="J10" s="3" t="str">
        <f>IF(F10="Failure",G10,IF(F10="Critical Failure",G10*0.9,""))</f>
        <v/>
      </c>
      <c r="K10" s="3"/>
      <c r="U10" s="25">
        <v>4</v>
      </c>
      <c r="V10" s="25">
        <v>19</v>
      </c>
      <c r="W10" s="81">
        <v>1</v>
      </c>
      <c r="X10" s="81">
        <v>7</v>
      </c>
      <c r="Y10" s="81">
        <v>8</v>
      </c>
      <c r="Z10" s="81">
        <v>8</v>
      </c>
      <c r="AA10" s="81">
        <v>8</v>
      </c>
      <c r="AB10" s="40">
        <f>((((1/10)*10)/10)*10)/10</f>
        <v>0.1</v>
      </c>
      <c r="AC10" s="40">
        <f>((((7/10)*10)/10)*10)/10</f>
        <v>0.7</v>
      </c>
      <c r="AD10" s="40">
        <f>((((8/10)*10)/10)*10)/10</f>
        <v>0.8</v>
      </c>
      <c r="AE10" s="40">
        <f>((((8/10)*10)/10)*10)/10</f>
        <v>0.8</v>
      </c>
      <c r="AF10" s="40">
        <f>((((8/10)*10)/10)*10)/10</f>
        <v>0.8</v>
      </c>
      <c r="AG10" s="70">
        <f>((1/10)*10)/10</f>
        <v>0.1</v>
      </c>
      <c r="AH10" s="70">
        <f>((7/10)*10)/10</f>
        <v>0.7</v>
      </c>
      <c r="AI10" s="70">
        <f>((8/10)*10)/10</f>
        <v>0.8</v>
      </c>
      <c r="AJ10" s="70">
        <f>((8/10)*10)/10</f>
        <v>0.8</v>
      </c>
      <c r="AK10" s="70">
        <f>((8/10)*10)/10</f>
        <v>0.8</v>
      </c>
      <c r="AL10" s="70">
        <f>((1/10)*10)/10</f>
        <v>0.1</v>
      </c>
      <c r="AM10" s="70">
        <f>((7/10)*10)/10</f>
        <v>0.7</v>
      </c>
      <c r="AN10" s="70">
        <f>((8/10)*10)/10</f>
        <v>0.8</v>
      </c>
      <c r="AO10" s="70">
        <f>((8/10)*10)/10</f>
        <v>0.8</v>
      </c>
      <c r="AP10" s="70">
        <f>((8/10)*10)/10</f>
        <v>0.8</v>
      </c>
      <c r="AQ10" s="70">
        <f>((1/10)*10)/10</f>
        <v>0.1</v>
      </c>
      <c r="AR10" s="70">
        <f>((7/10)*10)/10</f>
        <v>0.7</v>
      </c>
      <c r="AS10" s="70">
        <f>((8/10)*10)/10</f>
        <v>0.8</v>
      </c>
      <c r="AT10" s="70">
        <f>((8/10)*10)/10</f>
        <v>0.8</v>
      </c>
      <c r="AU10" s="70">
        <f>((8/10)*10)/10</f>
        <v>0.8</v>
      </c>
    </row>
    <row r="11" spans="1:47">
      <c r="U11" s="25">
        <v>5</v>
      </c>
      <c r="V11" s="25">
        <v>20</v>
      </c>
      <c r="W11" s="81">
        <v>2</v>
      </c>
      <c r="X11" s="81">
        <v>9</v>
      </c>
      <c r="Y11" s="82">
        <v>1</v>
      </c>
      <c r="Z11" s="82">
        <v>1</v>
      </c>
      <c r="AA11" s="82">
        <v>1</v>
      </c>
      <c r="AB11" s="40">
        <f>((((2/10)*10)/10)*10)/10</f>
        <v>0.2</v>
      </c>
      <c r="AC11" s="40">
        <f>((((9/10)*10)/10)*10)/10</f>
        <v>0.9</v>
      </c>
      <c r="AD11" s="40">
        <v>1</v>
      </c>
      <c r="AE11" s="40">
        <v>1</v>
      </c>
      <c r="AF11" s="40">
        <v>1</v>
      </c>
      <c r="AG11" s="70">
        <f>((2/10)*10)/10</f>
        <v>0.2</v>
      </c>
      <c r="AH11" s="70">
        <f>((9/10)*10)/10</f>
        <v>0.9</v>
      </c>
      <c r="AI11" s="70">
        <v>1</v>
      </c>
      <c r="AJ11" s="70">
        <v>1</v>
      </c>
      <c r="AK11" s="70">
        <v>1</v>
      </c>
      <c r="AL11" s="70">
        <f>((2/10)*10)/10</f>
        <v>0.2</v>
      </c>
      <c r="AM11" s="70">
        <f>((9/10)*10)/10</f>
        <v>0.9</v>
      </c>
      <c r="AN11" s="70">
        <v>1</v>
      </c>
      <c r="AO11" s="70">
        <v>1</v>
      </c>
      <c r="AP11" s="70">
        <v>1</v>
      </c>
      <c r="AQ11" s="70">
        <f>((2/10)*10)/10</f>
        <v>0.2</v>
      </c>
      <c r="AR11" s="70">
        <f>((9/10)*10)/10</f>
        <v>0.9</v>
      </c>
      <c r="AS11" s="70">
        <v>1</v>
      </c>
      <c r="AT11" s="70">
        <v>1</v>
      </c>
      <c r="AU11" s="70">
        <v>1</v>
      </c>
    </row>
    <row r="12" spans="1:47">
      <c r="U12" s="25">
        <v>6</v>
      </c>
      <c r="V12" s="25">
        <v>22</v>
      </c>
      <c r="W12" s="81">
        <v>3</v>
      </c>
      <c r="X12" s="84">
        <v>1.5</v>
      </c>
      <c r="Y12" s="82">
        <v>2</v>
      </c>
      <c r="Z12" s="82">
        <v>2</v>
      </c>
      <c r="AA12" s="82">
        <v>2</v>
      </c>
      <c r="AB12" s="40">
        <f>((((3/10)*10)/10)*10)/10</f>
        <v>0.3</v>
      </c>
      <c r="AC12" s="40">
        <v>1.5</v>
      </c>
      <c r="AD12" s="40">
        <v>2</v>
      </c>
      <c r="AE12" s="40">
        <v>2</v>
      </c>
      <c r="AF12" s="40">
        <v>2</v>
      </c>
      <c r="AG12" s="70">
        <f>((3/10)*10)/10</f>
        <v>0.3</v>
      </c>
      <c r="AH12" s="70">
        <v>1.5</v>
      </c>
      <c r="AI12" s="70">
        <v>2</v>
      </c>
      <c r="AJ12" s="70">
        <v>2</v>
      </c>
      <c r="AK12" s="70">
        <v>2</v>
      </c>
      <c r="AL12" s="70">
        <f>((3/10)*10)/10</f>
        <v>0.3</v>
      </c>
      <c r="AM12" s="70">
        <v>1.5</v>
      </c>
      <c r="AN12" s="70">
        <v>2</v>
      </c>
      <c r="AO12" s="70">
        <v>2</v>
      </c>
      <c r="AP12" s="70">
        <v>2</v>
      </c>
      <c r="AQ12" s="70">
        <f>((3/10)*10)/10</f>
        <v>0.3</v>
      </c>
      <c r="AR12" s="70">
        <v>1.5</v>
      </c>
      <c r="AS12" s="70">
        <v>2</v>
      </c>
      <c r="AT12" s="70">
        <v>2</v>
      </c>
      <c r="AU12" s="70">
        <v>2</v>
      </c>
    </row>
    <row r="13" spans="1:47">
      <c r="U13" s="25">
        <v>7</v>
      </c>
      <c r="V13" s="25">
        <v>23</v>
      </c>
      <c r="W13" s="81">
        <v>4</v>
      </c>
      <c r="X13" s="82">
        <v>2</v>
      </c>
      <c r="Y13" s="84">
        <v>2.5</v>
      </c>
      <c r="Z13" s="84">
        <v>2.5</v>
      </c>
      <c r="AA13" s="84">
        <v>2.5</v>
      </c>
      <c r="AB13" s="40">
        <f>((((4/10)*10)/10)*10)/10</f>
        <v>0.4</v>
      </c>
      <c r="AC13" s="40">
        <v>2</v>
      </c>
      <c r="AD13" s="40">
        <v>2.5</v>
      </c>
      <c r="AE13" s="40">
        <v>2.5</v>
      </c>
      <c r="AF13" s="40">
        <v>2</v>
      </c>
      <c r="AG13" s="70">
        <f>((4/10)*10)/10</f>
        <v>0.4</v>
      </c>
      <c r="AH13" s="70">
        <v>2</v>
      </c>
      <c r="AI13" s="70">
        <v>2.5</v>
      </c>
      <c r="AJ13" s="70">
        <v>2.5</v>
      </c>
      <c r="AK13" s="70">
        <v>2</v>
      </c>
      <c r="AL13" s="70">
        <f>((4/10)*10)/10</f>
        <v>0.4</v>
      </c>
      <c r="AM13" s="70">
        <v>2</v>
      </c>
      <c r="AN13" s="70">
        <v>2.5</v>
      </c>
      <c r="AO13" s="70">
        <v>2.5</v>
      </c>
      <c r="AP13" s="70">
        <v>2</v>
      </c>
      <c r="AQ13" s="70">
        <f>((4/10)*10)/10</f>
        <v>0.4</v>
      </c>
      <c r="AR13" s="70">
        <v>2</v>
      </c>
      <c r="AS13" s="70">
        <v>2.5</v>
      </c>
      <c r="AT13" s="70">
        <v>2.5</v>
      </c>
      <c r="AU13" s="70">
        <v>2</v>
      </c>
    </row>
    <row r="14" spans="1:47">
      <c r="U14" s="25">
        <v>8</v>
      </c>
      <c r="V14" s="25">
        <v>24</v>
      </c>
      <c r="W14" s="81">
        <v>5</v>
      </c>
      <c r="X14" s="84">
        <v>2.5</v>
      </c>
      <c r="Y14" s="82">
        <v>3</v>
      </c>
      <c r="Z14" s="82">
        <v>3</v>
      </c>
      <c r="AA14" s="82">
        <v>3</v>
      </c>
      <c r="AB14" s="40">
        <f>((((5/10)*10)/10)*10)/10</f>
        <v>0.5</v>
      </c>
      <c r="AC14" s="40">
        <v>2.5</v>
      </c>
      <c r="AD14" s="40">
        <v>3</v>
      </c>
      <c r="AE14" s="40">
        <v>3</v>
      </c>
      <c r="AF14" s="40">
        <v>3</v>
      </c>
      <c r="AG14" s="70">
        <f>((5/10)*10)/10</f>
        <v>0.5</v>
      </c>
      <c r="AH14" s="70">
        <v>2.5</v>
      </c>
      <c r="AI14" s="70">
        <v>3</v>
      </c>
      <c r="AJ14" s="70">
        <v>3</v>
      </c>
      <c r="AK14" s="70">
        <v>3</v>
      </c>
      <c r="AL14" s="70">
        <f>((5/10)*10)/10</f>
        <v>0.5</v>
      </c>
      <c r="AM14" s="70">
        <v>2.5</v>
      </c>
      <c r="AN14" s="70">
        <v>3</v>
      </c>
      <c r="AO14" s="70">
        <v>3</v>
      </c>
      <c r="AP14" s="70">
        <v>3</v>
      </c>
      <c r="AQ14" s="70">
        <f>((5/10)*10)/10</f>
        <v>0.5</v>
      </c>
      <c r="AR14" s="70">
        <v>2.5</v>
      </c>
      <c r="AS14" s="70">
        <v>3</v>
      </c>
      <c r="AT14" s="70">
        <v>3</v>
      </c>
      <c r="AU14" s="70">
        <v>3</v>
      </c>
    </row>
    <row r="15" spans="1:47">
      <c r="U15" s="25">
        <v>9</v>
      </c>
      <c r="V15" s="25">
        <v>26</v>
      </c>
      <c r="W15" s="81">
        <v>6</v>
      </c>
      <c r="X15" s="82">
        <v>3</v>
      </c>
      <c r="Y15" s="82">
        <v>4</v>
      </c>
      <c r="Z15" s="82">
        <v>4</v>
      </c>
      <c r="AA15" s="82">
        <v>4</v>
      </c>
      <c r="AB15" s="40">
        <f>((((6/10)*10)/10)*10)/10</f>
        <v>0.6</v>
      </c>
      <c r="AC15" s="40">
        <v>3</v>
      </c>
      <c r="AD15" s="40">
        <v>4</v>
      </c>
      <c r="AE15" s="40">
        <v>4</v>
      </c>
      <c r="AF15" s="40">
        <v>4</v>
      </c>
      <c r="AG15" s="70">
        <f>((6/10)*10)/10</f>
        <v>0.6</v>
      </c>
      <c r="AH15" s="70">
        <v>3</v>
      </c>
      <c r="AI15" s="70">
        <v>4</v>
      </c>
      <c r="AJ15" s="70">
        <v>4</v>
      </c>
      <c r="AK15" s="70">
        <v>4</v>
      </c>
      <c r="AL15" s="70">
        <f>((6/10)*10)/10</f>
        <v>0.6</v>
      </c>
      <c r="AM15" s="70">
        <v>3</v>
      </c>
      <c r="AN15" s="70">
        <v>4</v>
      </c>
      <c r="AO15" s="70">
        <v>4</v>
      </c>
      <c r="AP15" s="70">
        <v>4</v>
      </c>
      <c r="AQ15" s="70">
        <f>((6/10)*10)/10</f>
        <v>0.6</v>
      </c>
      <c r="AR15" s="70">
        <v>3</v>
      </c>
      <c r="AS15" s="70">
        <v>4</v>
      </c>
      <c r="AT15" s="70">
        <v>4</v>
      </c>
      <c r="AU15" s="70">
        <v>4</v>
      </c>
    </row>
    <row r="16" spans="1:47">
      <c r="U16" s="25">
        <v>10</v>
      </c>
      <c r="V16" s="25">
        <v>27</v>
      </c>
      <c r="W16" s="81">
        <v>7</v>
      </c>
      <c r="X16" s="82">
        <v>4</v>
      </c>
      <c r="Y16" s="82">
        <v>5</v>
      </c>
      <c r="Z16" s="82">
        <v>6</v>
      </c>
      <c r="AA16" s="82">
        <v>6</v>
      </c>
      <c r="AB16" s="40">
        <f>((((7/10)*10)/10)*10)/10</f>
        <v>0.7</v>
      </c>
      <c r="AC16" s="40">
        <v>4</v>
      </c>
      <c r="AD16" s="40">
        <v>5</v>
      </c>
      <c r="AE16" s="40">
        <v>6</v>
      </c>
      <c r="AF16" s="40">
        <v>6</v>
      </c>
      <c r="AG16" s="70">
        <f>((7/10)*10)/10</f>
        <v>0.7</v>
      </c>
      <c r="AH16" s="70">
        <v>4</v>
      </c>
      <c r="AI16" s="70">
        <v>5</v>
      </c>
      <c r="AJ16" s="70">
        <v>6</v>
      </c>
      <c r="AK16" s="70">
        <v>6</v>
      </c>
      <c r="AL16" s="70">
        <f>((7/10)*10)/10</f>
        <v>0.7</v>
      </c>
      <c r="AM16" s="70">
        <v>4</v>
      </c>
      <c r="AN16" s="70">
        <v>5</v>
      </c>
      <c r="AO16" s="70">
        <v>6</v>
      </c>
      <c r="AP16" s="70">
        <v>6</v>
      </c>
      <c r="AQ16" s="70">
        <f>((7/10)*10)/10</f>
        <v>0.7</v>
      </c>
      <c r="AR16" s="70">
        <v>4</v>
      </c>
      <c r="AS16" s="70">
        <v>5</v>
      </c>
      <c r="AT16" s="70">
        <v>6</v>
      </c>
      <c r="AU16" s="70">
        <v>6</v>
      </c>
    </row>
    <row r="17" spans="21:47">
      <c r="U17" s="25">
        <v>11</v>
      </c>
      <c r="V17" s="25">
        <v>28</v>
      </c>
      <c r="W17" s="81">
        <v>8</v>
      </c>
      <c r="X17" s="82">
        <v>5</v>
      </c>
      <c r="Y17" s="82">
        <v>6</v>
      </c>
      <c r="Z17" s="82">
        <v>8</v>
      </c>
      <c r="AA17" s="82">
        <v>8</v>
      </c>
      <c r="AB17" s="40">
        <f>((((8/10)*10)/10)*10)/10</f>
        <v>0.8</v>
      </c>
      <c r="AC17" s="40">
        <v>5</v>
      </c>
      <c r="AD17" s="40">
        <v>6</v>
      </c>
      <c r="AE17" s="40">
        <v>8</v>
      </c>
      <c r="AF17" s="40">
        <v>8</v>
      </c>
      <c r="AG17" s="70">
        <f>((8/10)*10)/10</f>
        <v>0.8</v>
      </c>
      <c r="AH17" s="70">
        <v>5</v>
      </c>
      <c r="AI17" s="70">
        <v>6</v>
      </c>
      <c r="AJ17" s="70">
        <v>8</v>
      </c>
      <c r="AK17" s="70">
        <v>8</v>
      </c>
      <c r="AL17" s="70">
        <f>((8/10)*10)/10</f>
        <v>0.8</v>
      </c>
      <c r="AM17" s="70">
        <v>5</v>
      </c>
      <c r="AN17" s="70">
        <v>6</v>
      </c>
      <c r="AO17" s="70">
        <v>8</v>
      </c>
      <c r="AP17" s="70">
        <v>8</v>
      </c>
      <c r="AQ17" s="70">
        <f>((8/10)*10)/10</f>
        <v>0.8</v>
      </c>
      <c r="AR17" s="70">
        <v>5</v>
      </c>
      <c r="AS17" s="70">
        <v>6</v>
      </c>
      <c r="AT17" s="70">
        <v>8</v>
      </c>
      <c r="AU17" s="70">
        <v>8</v>
      </c>
    </row>
    <row r="18" spans="21:47">
      <c r="U18" s="25">
        <v>12</v>
      </c>
      <c r="V18" s="25">
        <v>30</v>
      </c>
      <c r="W18" s="81">
        <v>9</v>
      </c>
      <c r="X18" s="82">
        <v>6</v>
      </c>
      <c r="Y18" s="82">
        <v>8</v>
      </c>
      <c r="Z18" s="82">
        <v>10</v>
      </c>
      <c r="AA18" s="82">
        <v>10</v>
      </c>
      <c r="AB18" s="40">
        <f>((((9/10)*10)/10)*10)/10</f>
        <v>0.9</v>
      </c>
      <c r="AC18" s="40">
        <v>6</v>
      </c>
      <c r="AD18" s="40">
        <v>8</v>
      </c>
      <c r="AE18" s="40">
        <v>10</v>
      </c>
      <c r="AF18" s="40">
        <v>10</v>
      </c>
      <c r="AG18" s="70">
        <f>((9/10)*10)/10</f>
        <v>0.9</v>
      </c>
      <c r="AH18" s="70">
        <v>6</v>
      </c>
      <c r="AI18" s="70">
        <v>8</v>
      </c>
      <c r="AJ18" s="70">
        <v>10</v>
      </c>
      <c r="AK18" s="70">
        <v>10</v>
      </c>
      <c r="AL18" s="70">
        <f>((9/10)*10)/10</f>
        <v>0.9</v>
      </c>
      <c r="AM18" s="70">
        <v>6</v>
      </c>
      <c r="AN18" s="70">
        <v>8</v>
      </c>
      <c r="AO18" s="70">
        <v>10</v>
      </c>
      <c r="AP18" s="70">
        <v>10</v>
      </c>
      <c r="AQ18" s="70">
        <f>((9/10)*10)/10</f>
        <v>0.9</v>
      </c>
      <c r="AR18" s="70">
        <v>6</v>
      </c>
      <c r="AS18" s="70">
        <v>8</v>
      </c>
      <c r="AT18" s="70">
        <v>10</v>
      </c>
      <c r="AU18" s="70">
        <v>10</v>
      </c>
    </row>
    <row r="19" spans="21:47">
      <c r="U19" s="25">
        <v>13</v>
      </c>
      <c r="V19" s="25">
        <v>31</v>
      </c>
      <c r="W19" s="82">
        <v>1</v>
      </c>
      <c r="X19" s="82">
        <v>7</v>
      </c>
      <c r="Y19" s="82">
        <v>10</v>
      </c>
      <c r="Z19" s="82">
        <v>15</v>
      </c>
      <c r="AA19" s="82">
        <v>15</v>
      </c>
      <c r="AB19" s="40">
        <v>10</v>
      </c>
      <c r="AC19" s="40">
        <v>7</v>
      </c>
      <c r="AD19" s="40">
        <v>10</v>
      </c>
      <c r="AE19" s="40">
        <v>15</v>
      </c>
      <c r="AF19" s="40">
        <v>15</v>
      </c>
      <c r="AG19" s="70">
        <v>10</v>
      </c>
      <c r="AH19" s="70">
        <v>7</v>
      </c>
      <c r="AI19" s="70">
        <v>10</v>
      </c>
      <c r="AJ19" s="70">
        <v>15</v>
      </c>
      <c r="AK19" s="70">
        <v>15</v>
      </c>
      <c r="AL19" s="70">
        <v>10</v>
      </c>
      <c r="AM19" s="70">
        <v>7</v>
      </c>
      <c r="AN19" s="70">
        <v>10</v>
      </c>
      <c r="AO19" s="70">
        <v>15</v>
      </c>
      <c r="AP19" s="70">
        <v>15</v>
      </c>
      <c r="AQ19" s="70">
        <v>10</v>
      </c>
      <c r="AR19" s="70">
        <v>7</v>
      </c>
      <c r="AS19" s="70">
        <v>10</v>
      </c>
      <c r="AT19" s="70">
        <v>15</v>
      </c>
      <c r="AU19" s="70">
        <v>15</v>
      </c>
    </row>
    <row r="20" spans="21:47">
      <c r="U20" s="25">
        <v>14</v>
      </c>
      <c r="V20" s="25">
        <v>32</v>
      </c>
      <c r="W20" s="84">
        <v>1.5</v>
      </c>
      <c r="X20" s="82">
        <v>8</v>
      </c>
      <c r="Y20" s="82">
        <v>15</v>
      </c>
      <c r="Z20" s="82">
        <v>20</v>
      </c>
      <c r="AA20" s="82">
        <v>20</v>
      </c>
      <c r="AB20" s="40">
        <v>15</v>
      </c>
      <c r="AC20" s="40">
        <v>8</v>
      </c>
      <c r="AD20" s="40">
        <v>15</v>
      </c>
      <c r="AE20" s="40">
        <v>20</v>
      </c>
      <c r="AF20" s="40">
        <v>20</v>
      </c>
      <c r="AG20" s="70">
        <v>15</v>
      </c>
      <c r="AH20" s="70">
        <v>8</v>
      </c>
      <c r="AI20" s="70">
        <v>15</v>
      </c>
      <c r="AJ20" s="70">
        <v>20</v>
      </c>
      <c r="AK20" s="70">
        <v>20</v>
      </c>
      <c r="AL20" s="70">
        <v>15</v>
      </c>
      <c r="AM20" s="70">
        <v>8</v>
      </c>
      <c r="AN20" s="70">
        <v>15</v>
      </c>
      <c r="AO20" s="70">
        <v>20</v>
      </c>
      <c r="AP20" s="70">
        <v>20</v>
      </c>
      <c r="AQ20" s="70">
        <v>15</v>
      </c>
      <c r="AR20" s="70">
        <v>8</v>
      </c>
      <c r="AS20" s="70">
        <v>15</v>
      </c>
      <c r="AT20" s="70">
        <v>20</v>
      </c>
      <c r="AU20" s="70">
        <v>20</v>
      </c>
    </row>
    <row r="21" spans="21:47">
      <c r="U21" s="25">
        <v>15</v>
      </c>
      <c r="V21" s="25">
        <v>34</v>
      </c>
      <c r="W21" s="82">
        <v>2</v>
      </c>
      <c r="X21" s="82">
        <v>10</v>
      </c>
      <c r="Y21" s="82">
        <v>20</v>
      </c>
      <c r="Z21" s="82">
        <v>28</v>
      </c>
      <c r="AA21" s="82">
        <v>28</v>
      </c>
      <c r="AB21" s="40">
        <v>20</v>
      </c>
      <c r="AC21" s="40">
        <v>10</v>
      </c>
      <c r="AD21" s="40">
        <v>20</v>
      </c>
      <c r="AE21" s="40">
        <v>28</v>
      </c>
      <c r="AF21" s="40">
        <v>28</v>
      </c>
      <c r="AG21" s="70">
        <v>20</v>
      </c>
      <c r="AH21" s="70">
        <v>10</v>
      </c>
      <c r="AI21" s="70">
        <v>20</v>
      </c>
      <c r="AJ21" s="70">
        <v>28</v>
      </c>
      <c r="AK21" s="70">
        <v>28</v>
      </c>
      <c r="AL21" s="70">
        <v>20</v>
      </c>
      <c r="AM21" s="70">
        <v>10</v>
      </c>
      <c r="AN21" s="70">
        <v>20</v>
      </c>
      <c r="AO21" s="70">
        <v>28</v>
      </c>
      <c r="AP21" s="70">
        <v>28</v>
      </c>
      <c r="AQ21" s="70">
        <v>20</v>
      </c>
      <c r="AR21" s="70">
        <v>10</v>
      </c>
      <c r="AS21" s="70">
        <v>20</v>
      </c>
      <c r="AT21" s="70">
        <v>28</v>
      </c>
      <c r="AU21" s="70">
        <v>28</v>
      </c>
    </row>
    <row r="22" spans="21:47">
      <c r="U22" s="25">
        <v>16</v>
      </c>
      <c r="V22" s="25">
        <v>35</v>
      </c>
      <c r="W22" s="84">
        <v>2.5</v>
      </c>
      <c r="X22" s="82">
        <v>13</v>
      </c>
      <c r="Y22" s="82">
        <v>25</v>
      </c>
      <c r="Z22" s="82">
        <v>36</v>
      </c>
      <c r="AA22" s="82">
        <v>40</v>
      </c>
      <c r="AB22" s="40">
        <v>25</v>
      </c>
      <c r="AC22" s="40">
        <v>13</v>
      </c>
      <c r="AD22" s="40">
        <v>25</v>
      </c>
      <c r="AE22" s="40">
        <v>36</v>
      </c>
      <c r="AF22" s="40">
        <v>40</v>
      </c>
      <c r="AG22" s="70">
        <v>25</v>
      </c>
      <c r="AH22" s="70">
        <v>13</v>
      </c>
      <c r="AI22" s="70">
        <v>25</v>
      </c>
      <c r="AJ22" s="70">
        <v>36</v>
      </c>
      <c r="AK22" s="70">
        <v>40</v>
      </c>
      <c r="AL22" s="70">
        <v>25</v>
      </c>
      <c r="AM22" s="70">
        <v>13</v>
      </c>
      <c r="AN22" s="70">
        <v>25</v>
      </c>
      <c r="AO22" s="70">
        <v>36</v>
      </c>
      <c r="AP22" s="70">
        <v>40</v>
      </c>
      <c r="AQ22" s="70">
        <v>25</v>
      </c>
      <c r="AR22" s="70">
        <v>13</v>
      </c>
      <c r="AS22" s="70">
        <v>25</v>
      </c>
      <c r="AT22" s="70">
        <v>36</v>
      </c>
      <c r="AU22" s="70">
        <v>40</v>
      </c>
    </row>
    <row r="23" spans="21:47">
      <c r="U23" s="25">
        <v>17</v>
      </c>
      <c r="V23" s="25">
        <v>36</v>
      </c>
      <c r="W23" s="82">
        <v>3</v>
      </c>
      <c r="X23" s="82">
        <v>15</v>
      </c>
      <c r="Y23" s="82">
        <v>30</v>
      </c>
      <c r="Z23" s="82">
        <v>45</v>
      </c>
      <c r="AA23" s="82">
        <v>55</v>
      </c>
      <c r="AB23" s="40">
        <v>30</v>
      </c>
      <c r="AC23" s="40">
        <v>15</v>
      </c>
      <c r="AD23" s="40">
        <v>30</v>
      </c>
      <c r="AE23" s="40">
        <v>45</v>
      </c>
      <c r="AF23" s="40">
        <v>55</v>
      </c>
      <c r="AG23" s="70">
        <v>30</v>
      </c>
      <c r="AH23" s="70">
        <v>15</v>
      </c>
      <c r="AI23" s="70">
        <v>30</v>
      </c>
      <c r="AJ23" s="70">
        <v>45</v>
      </c>
      <c r="AK23" s="70">
        <v>55</v>
      </c>
      <c r="AL23" s="70">
        <v>30</v>
      </c>
      <c r="AM23" s="70">
        <v>15</v>
      </c>
      <c r="AN23" s="70">
        <v>30</v>
      </c>
      <c r="AO23" s="70">
        <v>45</v>
      </c>
      <c r="AP23" s="70">
        <v>55</v>
      </c>
      <c r="AQ23" s="70">
        <v>30</v>
      </c>
      <c r="AR23" s="70">
        <v>15</v>
      </c>
      <c r="AS23" s="70">
        <v>30</v>
      </c>
      <c r="AT23" s="70">
        <v>45</v>
      </c>
      <c r="AU23" s="70">
        <v>55</v>
      </c>
    </row>
    <row r="24" spans="21:47">
      <c r="U24" s="25">
        <v>18</v>
      </c>
      <c r="V24" s="25">
        <v>38</v>
      </c>
      <c r="W24" s="82">
        <v>4</v>
      </c>
      <c r="X24" s="82">
        <v>20</v>
      </c>
      <c r="Y24" s="82">
        <v>45</v>
      </c>
      <c r="Z24" s="82">
        <v>70</v>
      </c>
      <c r="AA24" s="82">
        <v>90</v>
      </c>
      <c r="AB24" s="40">
        <v>40</v>
      </c>
      <c r="AC24" s="40">
        <v>20</v>
      </c>
      <c r="AD24" s="40">
        <v>45</v>
      </c>
      <c r="AE24" s="40">
        <v>70</v>
      </c>
      <c r="AF24" s="40">
        <v>90</v>
      </c>
      <c r="AG24" s="70">
        <v>40</v>
      </c>
      <c r="AH24" s="70">
        <v>20</v>
      </c>
      <c r="AI24" s="70">
        <v>45</v>
      </c>
      <c r="AJ24" s="70">
        <v>70</v>
      </c>
      <c r="AK24" s="70">
        <v>90</v>
      </c>
      <c r="AL24" s="70">
        <v>40</v>
      </c>
      <c r="AM24" s="70">
        <v>20</v>
      </c>
      <c r="AN24" s="70">
        <v>45</v>
      </c>
      <c r="AO24" s="70">
        <v>70</v>
      </c>
      <c r="AP24" s="70">
        <v>90</v>
      </c>
      <c r="AQ24" s="70">
        <v>40</v>
      </c>
      <c r="AR24" s="70">
        <v>20</v>
      </c>
      <c r="AS24" s="70">
        <v>45</v>
      </c>
      <c r="AT24" s="70">
        <v>70</v>
      </c>
      <c r="AU24" s="70">
        <v>90</v>
      </c>
    </row>
    <row r="25" spans="21:47">
      <c r="U25" s="25">
        <v>19</v>
      </c>
      <c r="V25" s="25">
        <v>39</v>
      </c>
      <c r="W25" s="82">
        <v>6</v>
      </c>
      <c r="X25" s="82">
        <v>30</v>
      </c>
      <c r="Y25" s="82">
        <v>60</v>
      </c>
      <c r="Z25" s="82">
        <v>100</v>
      </c>
      <c r="AA25" s="82">
        <v>130</v>
      </c>
      <c r="AB25" s="40">
        <v>60</v>
      </c>
      <c r="AC25" s="40">
        <v>30</v>
      </c>
      <c r="AD25" s="40">
        <v>60</v>
      </c>
      <c r="AE25" s="40">
        <v>100</v>
      </c>
      <c r="AF25" s="40">
        <v>130</v>
      </c>
      <c r="AG25" s="70">
        <v>60</v>
      </c>
      <c r="AH25" s="70">
        <v>30</v>
      </c>
      <c r="AI25" s="70">
        <v>60</v>
      </c>
      <c r="AJ25" s="70">
        <v>100</v>
      </c>
      <c r="AK25" s="70">
        <v>130</v>
      </c>
      <c r="AL25" s="70">
        <v>60</v>
      </c>
      <c r="AM25" s="70">
        <v>30</v>
      </c>
      <c r="AN25" s="70">
        <v>60</v>
      </c>
      <c r="AO25" s="70">
        <v>100</v>
      </c>
      <c r="AP25" s="70">
        <v>130</v>
      </c>
      <c r="AQ25" s="70">
        <v>60</v>
      </c>
      <c r="AR25" s="70">
        <v>30</v>
      </c>
      <c r="AS25" s="70">
        <v>60</v>
      </c>
      <c r="AT25" s="70">
        <v>100</v>
      </c>
      <c r="AU25" s="70">
        <v>130</v>
      </c>
    </row>
    <row r="26" spans="21:47">
      <c r="U26" s="25">
        <v>20</v>
      </c>
      <c r="V26" s="25">
        <v>40</v>
      </c>
      <c r="W26" s="82">
        <v>8</v>
      </c>
      <c r="X26" s="82">
        <v>40</v>
      </c>
      <c r="Y26" s="82">
        <v>75</v>
      </c>
      <c r="Z26" s="82">
        <v>150</v>
      </c>
      <c r="AA26" s="82">
        <v>200</v>
      </c>
      <c r="AB26" s="40">
        <v>80</v>
      </c>
      <c r="AC26" s="40">
        <v>40</v>
      </c>
      <c r="AD26" s="40">
        <v>75</v>
      </c>
      <c r="AE26" s="40">
        <v>150</v>
      </c>
      <c r="AF26" s="40">
        <v>200</v>
      </c>
      <c r="AG26" s="70">
        <v>80</v>
      </c>
      <c r="AH26" s="70">
        <v>40</v>
      </c>
      <c r="AI26" s="70">
        <v>75</v>
      </c>
      <c r="AJ26" s="70">
        <v>150</v>
      </c>
      <c r="AK26" s="70">
        <v>200</v>
      </c>
      <c r="AL26" s="70">
        <v>80</v>
      </c>
      <c r="AM26" s="70">
        <v>40</v>
      </c>
      <c r="AN26" s="70">
        <v>75</v>
      </c>
      <c r="AO26" s="70">
        <v>150</v>
      </c>
      <c r="AP26" s="70">
        <v>200</v>
      </c>
      <c r="AQ26" s="70">
        <v>80</v>
      </c>
      <c r="AR26" s="70">
        <v>40</v>
      </c>
      <c r="AS26" s="70">
        <v>75</v>
      </c>
      <c r="AT26" s="70">
        <v>150</v>
      </c>
      <c r="AU26" s="70">
        <v>200</v>
      </c>
    </row>
    <row r="27" spans="21:47" ht="42.75">
      <c r="U27" s="25" t="s">
        <v>317</v>
      </c>
      <c r="V27" s="25" t="s">
        <v>318</v>
      </c>
      <c r="W27" s="25" t="s">
        <v>318</v>
      </c>
      <c r="X27" s="82">
        <v>50</v>
      </c>
      <c r="Y27" s="82">
        <v>90</v>
      </c>
      <c r="Z27" s="82">
        <v>175</v>
      </c>
      <c r="AA27" s="82">
        <v>300</v>
      </c>
      <c r="AB27" s="40" t="s">
        <v>318</v>
      </c>
      <c r="AC27" s="40">
        <v>50</v>
      </c>
      <c r="AD27" s="40">
        <v>90</v>
      </c>
      <c r="AE27" s="40">
        <v>175</v>
      </c>
      <c r="AF27" s="40">
        <v>300</v>
      </c>
      <c r="AG27" s="70" t="s">
        <v>318</v>
      </c>
      <c r="AH27" s="70">
        <v>50</v>
      </c>
      <c r="AI27" s="70">
        <v>90</v>
      </c>
      <c r="AJ27" s="70">
        <v>175</v>
      </c>
      <c r="AK27" s="70">
        <v>300</v>
      </c>
      <c r="AL27" s="70" t="s">
        <v>318</v>
      </c>
      <c r="AM27" s="70">
        <v>50</v>
      </c>
      <c r="AN27" s="70">
        <v>90</v>
      </c>
      <c r="AO27" s="70">
        <v>175</v>
      </c>
      <c r="AP27" s="70">
        <v>300</v>
      </c>
      <c r="AQ27" s="70" t="s">
        <v>318</v>
      </c>
      <c r="AR27" s="70">
        <v>50</v>
      </c>
      <c r="AS27" s="70">
        <v>90</v>
      </c>
      <c r="AT27" s="70">
        <v>175</v>
      </c>
      <c r="AU27" s="70">
        <v>300</v>
      </c>
    </row>
  </sheetData>
  <mergeCells count="5">
    <mergeCell ref="AB5:AF5"/>
    <mergeCell ref="AG5:AK5"/>
    <mergeCell ref="AL5:AP5"/>
    <mergeCell ref="AQ5:AU5"/>
    <mergeCell ref="C5:K5"/>
  </mergeCells>
  <conditionalFormatting sqref="D7">
    <cfRule type="dataBar" priority="2">
      <dataBar showValue="0">
        <cfvo type="num" val="1"/>
        <cfvo type="num" val="4"/>
        <color rgb="FF638EC6"/>
      </dataBar>
      <extLst>
        <ext xmlns:x14="http://schemas.microsoft.com/office/spreadsheetml/2009/9/main" uri="{B025F937-C7B1-47D3-B67F-A62EFF666E3E}">
          <x14:id>{03286B1E-2BE1-445D-AE05-C3CF0DC77773}</x14:id>
        </ext>
      </extLst>
    </cfRule>
  </conditionalFormatting>
  <conditionalFormatting sqref="D7:D10">
    <cfRule type="dataBar" priority="1">
      <dataBar>
        <cfvo type="num" val="0"/>
        <cfvo type="num" val="4"/>
        <color rgb="FF638EC6"/>
      </dataBar>
      <extLst>
        <ext xmlns:x14="http://schemas.microsoft.com/office/spreadsheetml/2009/9/main" uri="{B025F937-C7B1-47D3-B67F-A62EFF666E3E}">
          <x14:id>{F7B05A90-0E08-42C5-AA59-859AB5EB8A4E}</x14:id>
        </ext>
      </extLst>
    </cfRule>
  </conditionalFormatting>
  <dataValidations count="1">
    <dataValidation type="list" allowBlank="1" showInputMessage="1" showErrorMessage="1" sqref="B2">
      <formula1>"Untrained,Trained,Expert,Master,Legendary"</formula1>
    </dataValidation>
  </dataValidations>
  <pageMargins left="0.7" right="0.7" top="0.75" bottom="0.75" header="0.3" footer="0.3"/>
  <ignoredErrors>
    <ignoredError sqref="AG6:AQ6"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Craft1">
                <anchor moveWithCells="1" sizeWithCells="1">
                  <from>
                    <xdr:col>0</xdr:col>
                    <xdr:colOff>0</xdr:colOff>
                    <xdr:row>6</xdr:row>
                    <xdr:rowOff>0</xdr:rowOff>
                  </from>
                  <to>
                    <xdr:col>1</xdr:col>
                    <xdr:colOff>0</xdr:colOff>
                    <xdr:row>7</xdr:row>
                    <xdr:rowOff>0</xdr:rowOff>
                  </to>
                </anchor>
              </controlPr>
            </control>
          </mc:Choice>
        </mc:AlternateContent>
        <mc:AlternateContent xmlns:mc="http://schemas.openxmlformats.org/markup-compatibility/2006">
          <mc:Choice Requires="x14">
            <control shapeId="6151" r:id="rId4" name="Button 7">
              <controlPr defaultSize="0" print="0" autoFill="0" autoPict="0" macro="[0]!Craft2">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6177" r:id="rId5" name="Button 33">
              <controlPr defaultSize="0" print="0" autoFill="0" autoPict="0" macro="[0]!CraftProgress1">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6178" r:id="rId6" name="Button 34">
              <controlPr defaultSize="0" print="0" autoFill="0" autoPict="0" macro="[0]!CraftProgress2">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6185" r:id="rId7" name="Button 41">
              <controlPr defaultSize="0" print="0" autoFill="0" autoPict="0" macro="[0]!Invent1">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6186" r:id="rId8" name="Button 42">
              <controlPr defaultSize="0" print="0" autoFill="0" autoPict="0" macro="[0]!Invent2">
                <anchor moveWithCells="1" sizeWithCells="1">
                  <from>
                    <xdr:col>0</xdr:col>
                    <xdr:colOff>0</xdr:colOff>
                    <xdr:row>9</xdr:row>
                    <xdr:rowOff>0</xdr:rowOff>
                  </from>
                  <to>
                    <xdr:col>1</xdr:col>
                    <xdr:colOff>0</xdr:colOff>
                    <xdr:row>10</xdr:row>
                    <xdr:rowOff>0</xdr:rowOff>
                  </to>
                </anchor>
              </controlPr>
            </control>
          </mc:Choice>
        </mc:AlternateContent>
        <mc:AlternateContent xmlns:mc="http://schemas.openxmlformats.org/markup-compatibility/2006">
          <mc:Choice Requires="x14">
            <control shapeId="6187" r:id="rId9" name="Button 43">
              <controlPr defaultSize="0" print="0" autoFill="0" autoPict="0" macro="[0]!InventProgress1">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6188" r:id="rId10" name="Button 44">
              <controlPr defaultSize="0" print="0" autoFill="0" autoPict="0" macro="[0]!InventProgress2">
                <anchor moveWithCells="1" siz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6190" r:id="rId11" name="Button 46">
              <controlPr defaultSize="0" print="0" autoFill="0" autoPict="0" macro="[0]!Complete2">
                <anchor moveWithCells="1" sizeWithCells="1">
                  <from>
                    <xdr:col>11</xdr:col>
                    <xdr:colOff>9525</xdr:colOff>
                    <xdr:row>7</xdr:row>
                    <xdr:rowOff>0</xdr:rowOff>
                  </from>
                  <to>
                    <xdr:col>11</xdr:col>
                    <xdr:colOff>676275</xdr:colOff>
                    <xdr:row>8</xdr:row>
                    <xdr:rowOff>0</xdr:rowOff>
                  </to>
                </anchor>
              </controlPr>
            </control>
          </mc:Choice>
        </mc:AlternateContent>
        <mc:AlternateContent xmlns:mc="http://schemas.openxmlformats.org/markup-compatibility/2006">
          <mc:Choice Requires="x14">
            <control shapeId="6191" r:id="rId12" name="Button 47">
              <controlPr defaultSize="0" print="0" autoFill="0" autoPict="0" macro="[0]!Complete3">
                <anchor moveWithCells="1" sizeWithCells="1">
                  <from>
                    <xdr:col>11</xdr:col>
                    <xdr:colOff>9525</xdr:colOff>
                    <xdr:row>8</xdr:row>
                    <xdr:rowOff>0</xdr:rowOff>
                  </from>
                  <to>
                    <xdr:col>11</xdr:col>
                    <xdr:colOff>676275</xdr:colOff>
                    <xdr:row>9</xdr:row>
                    <xdr:rowOff>0</xdr:rowOff>
                  </to>
                </anchor>
              </controlPr>
            </control>
          </mc:Choice>
        </mc:AlternateContent>
        <mc:AlternateContent xmlns:mc="http://schemas.openxmlformats.org/markup-compatibility/2006">
          <mc:Choice Requires="x14">
            <control shapeId="6192" r:id="rId13" name="Button 48">
              <controlPr defaultSize="0" print="0" autoFill="0" autoPict="0" macro="[0]!Complete4">
                <anchor moveWithCells="1" sizeWithCells="1">
                  <from>
                    <xdr:col>11</xdr:col>
                    <xdr:colOff>9525</xdr:colOff>
                    <xdr:row>9</xdr:row>
                    <xdr:rowOff>0</xdr:rowOff>
                  </from>
                  <to>
                    <xdr:col>11</xdr:col>
                    <xdr:colOff>676275</xdr:colOff>
                    <xdr:row>10</xdr:row>
                    <xdr:rowOff>0</xdr:rowOff>
                  </to>
                </anchor>
              </controlPr>
            </control>
          </mc:Choice>
        </mc:AlternateContent>
        <mc:AlternateContent xmlns:mc="http://schemas.openxmlformats.org/markup-compatibility/2006">
          <mc:Choice Requires="x14">
            <control shapeId="6193" r:id="rId14" name="Button 49">
              <controlPr defaultSize="0" print="0" autoFill="0" autoPict="0" macro="[0]!Complete1">
                <anchor moveWithCells="1" sizeWithCells="1">
                  <from>
                    <xdr:col>11</xdr:col>
                    <xdr:colOff>9525</xdr:colOff>
                    <xdr:row>6</xdr:row>
                    <xdr:rowOff>0</xdr:rowOff>
                  </from>
                  <to>
                    <xdr:col>11</xdr:col>
                    <xdr:colOff>676275</xdr:colOff>
                    <xdr:row>7</xdr:row>
                    <xdr:rowOff>0</xdr:rowOff>
                  </to>
                </anchor>
              </controlPr>
            </control>
          </mc:Choice>
        </mc:AlternateContent>
        <mc:AlternateContent xmlns:mc="http://schemas.openxmlformats.org/markup-compatibility/2006">
          <mc:Choice Requires="x14">
            <control shapeId="6195" r:id="rId15" name="Button 51">
              <controlPr defaultSize="0" print="0" autoFill="0" autoPict="0" macro="[0]!Clear1">
                <anchor moveWithCells="1" sizeWithCells="1">
                  <from>
                    <xdr:col>12</xdr:col>
                    <xdr:colOff>9525</xdr:colOff>
                    <xdr:row>6</xdr:row>
                    <xdr:rowOff>0</xdr:rowOff>
                  </from>
                  <to>
                    <xdr:col>12</xdr:col>
                    <xdr:colOff>676275</xdr:colOff>
                    <xdr:row>7</xdr:row>
                    <xdr:rowOff>0</xdr:rowOff>
                  </to>
                </anchor>
              </controlPr>
            </control>
          </mc:Choice>
        </mc:AlternateContent>
        <mc:AlternateContent xmlns:mc="http://schemas.openxmlformats.org/markup-compatibility/2006">
          <mc:Choice Requires="x14">
            <control shapeId="6196" r:id="rId16" name="Button 52">
              <controlPr defaultSize="0" print="0" autoFill="0" autoPict="0" macro="[0]!Clear2">
                <anchor moveWithCells="1" sizeWithCells="1">
                  <from>
                    <xdr:col>12</xdr:col>
                    <xdr:colOff>9525</xdr:colOff>
                    <xdr:row>7</xdr:row>
                    <xdr:rowOff>0</xdr:rowOff>
                  </from>
                  <to>
                    <xdr:col>12</xdr:col>
                    <xdr:colOff>676275</xdr:colOff>
                    <xdr:row>8</xdr:row>
                    <xdr:rowOff>0</xdr:rowOff>
                  </to>
                </anchor>
              </controlPr>
            </control>
          </mc:Choice>
        </mc:AlternateContent>
        <mc:AlternateContent xmlns:mc="http://schemas.openxmlformats.org/markup-compatibility/2006">
          <mc:Choice Requires="x14">
            <control shapeId="6197" r:id="rId17" name="Button 53">
              <controlPr defaultSize="0" print="0" autoFill="0" autoPict="0" macro="[0]!Clear3">
                <anchor moveWithCells="1" sizeWithCells="1">
                  <from>
                    <xdr:col>12</xdr:col>
                    <xdr:colOff>9525</xdr:colOff>
                    <xdr:row>8</xdr:row>
                    <xdr:rowOff>0</xdr:rowOff>
                  </from>
                  <to>
                    <xdr:col>12</xdr:col>
                    <xdr:colOff>676275</xdr:colOff>
                    <xdr:row>9</xdr:row>
                    <xdr:rowOff>0</xdr:rowOff>
                  </to>
                </anchor>
              </controlPr>
            </control>
          </mc:Choice>
        </mc:AlternateContent>
        <mc:AlternateContent xmlns:mc="http://schemas.openxmlformats.org/markup-compatibility/2006">
          <mc:Choice Requires="x14">
            <control shapeId="6198" r:id="rId18" name="Button 54">
              <controlPr defaultSize="0" print="0" autoFill="0" autoPict="0" macro="[0]!Clear4">
                <anchor moveWithCells="1" sizeWithCells="1">
                  <from>
                    <xdr:col>12</xdr:col>
                    <xdr:colOff>9525</xdr:colOff>
                    <xdr:row>9</xdr:row>
                    <xdr:rowOff>0</xdr:rowOff>
                  </from>
                  <to>
                    <xdr:col>12</xdr:col>
                    <xdr:colOff>676275</xdr:colOff>
                    <xdr:row>10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3286B1E-2BE1-445D-AE05-C3CF0DC77773}">
            <x14:dataBar minLength="0" maxLength="100" gradient="0">
              <x14:cfvo type="num">
                <xm:f>1</xm:f>
              </x14:cfvo>
              <x14:cfvo type="num">
                <xm:f>4</xm:f>
              </x14:cfvo>
              <x14:negativeFillColor rgb="FFFF0000"/>
              <x14:axisColor rgb="FF000000"/>
            </x14:dataBar>
          </x14:cfRule>
          <xm:sqref>D7</xm:sqref>
        </x14:conditionalFormatting>
        <x14:conditionalFormatting xmlns:xm="http://schemas.microsoft.com/office/excel/2006/main">
          <x14:cfRule type="dataBar" id="{F7B05A90-0E08-42C5-AA59-859AB5EB8A4E}">
            <x14:dataBar minLength="0" maxLength="100" gradient="0">
              <x14:cfvo type="num">
                <xm:f>0</xm:f>
              </x14:cfvo>
              <x14:cfvo type="num">
                <xm:f>4</xm:f>
              </x14:cfvo>
              <x14:negativeFillColor rgb="FFFF0000"/>
              <x14:axisColor rgb="FF000000"/>
            </x14:dataBar>
          </x14:cfRule>
          <xm:sqref>D7:D10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3:G10"/>
  <sheetViews>
    <sheetView workbookViewId="0">
      <selection activeCell="C6" sqref="C6:G6"/>
    </sheetView>
  </sheetViews>
  <sheetFormatPr defaultRowHeight="14.25"/>
  <cols>
    <col min="3" max="7" width="9.75" customWidth="1"/>
  </cols>
  <sheetData>
    <row r="3" spans="2:7">
      <c r="B3" s="3">
        <v>1</v>
      </c>
      <c r="C3" s="207" t="s">
        <v>319</v>
      </c>
      <c r="D3" s="207"/>
      <c r="E3" s="207"/>
      <c r="F3" s="207"/>
      <c r="G3" s="207"/>
    </row>
    <row r="4" spans="2:7">
      <c r="B4" s="3">
        <v>2</v>
      </c>
      <c r="C4" s="119" t="s">
        <v>320</v>
      </c>
      <c r="D4" s="119"/>
      <c r="E4" s="119"/>
      <c r="F4" s="119"/>
      <c r="G4" s="119"/>
    </row>
    <row r="5" spans="2:7">
      <c r="B5" s="3">
        <v>3</v>
      </c>
      <c r="C5" s="119" t="s">
        <v>321</v>
      </c>
      <c r="D5" s="119"/>
      <c r="E5" s="119"/>
      <c r="F5" s="119"/>
      <c r="G5" s="119"/>
    </row>
    <row r="6" spans="2:7">
      <c r="B6" s="3">
        <v>4</v>
      </c>
      <c r="C6" s="119" t="s">
        <v>322</v>
      </c>
      <c r="D6" s="119"/>
      <c r="E6" s="119"/>
      <c r="F6" s="119"/>
      <c r="G6" s="119"/>
    </row>
    <row r="7" spans="2:7">
      <c r="B7" s="3">
        <v>5</v>
      </c>
      <c r="C7" s="119"/>
      <c r="D7" s="119"/>
      <c r="E7" s="119"/>
      <c r="F7" s="119"/>
      <c r="G7" s="119"/>
    </row>
    <row r="8" spans="2:7">
      <c r="B8" s="3">
        <v>6</v>
      </c>
      <c r="C8" s="119"/>
      <c r="D8" s="119"/>
      <c r="E8" s="119"/>
      <c r="F8" s="119"/>
      <c r="G8" s="119"/>
    </row>
    <row r="9" spans="2:7">
      <c r="B9" s="3">
        <v>7</v>
      </c>
      <c r="C9" s="119"/>
      <c r="D9" s="119"/>
      <c r="E9" s="119"/>
      <c r="F9" s="119"/>
      <c r="G9" s="119"/>
    </row>
    <row r="10" spans="2:7">
      <c r="B10" s="3">
        <v>8</v>
      </c>
      <c r="C10" s="119"/>
      <c r="D10" s="119"/>
      <c r="E10" s="119"/>
      <c r="F10" s="119"/>
      <c r="G10" s="119"/>
    </row>
  </sheetData>
  <mergeCells count="8">
    <mergeCell ref="C9:G9"/>
    <mergeCell ref="C10:G10"/>
    <mergeCell ref="C3:G3"/>
    <mergeCell ref="C4:G4"/>
    <mergeCell ref="C5:G5"/>
    <mergeCell ref="C6:G6"/>
    <mergeCell ref="C7:G7"/>
    <mergeCell ref="C8:G8"/>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D59"/>
  <sheetViews>
    <sheetView zoomScale="90" zoomScaleNormal="90" workbookViewId="0">
      <selection activeCell="C59" sqref="C59"/>
    </sheetView>
  </sheetViews>
  <sheetFormatPr defaultRowHeight="14.25"/>
  <cols>
    <col min="2" max="2" width="28.625" customWidth="1"/>
    <col min="3" max="3" width="87" customWidth="1"/>
    <col min="4" max="4" width="60" customWidth="1"/>
  </cols>
  <sheetData>
    <row r="3" spans="2:4" ht="18">
      <c r="B3" s="210" t="s">
        <v>65</v>
      </c>
      <c r="C3" s="210"/>
      <c r="D3" s="210"/>
    </row>
    <row r="4" spans="2:4">
      <c r="B4" s="22" t="s">
        <v>133</v>
      </c>
      <c r="C4" s="22" t="s">
        <v>134</v>
      </c>
      <c r="D4" s="22" t="s">
        <v>323</v>
      </c>
    </row>
    <row r="5" spans="2:4">
      <c r="B5" s="9" t="s">
        <v>82</v>
      </c>
      <c r="C5" s="20" t="s">
        <v>324</v>
      </c>
      <c r="D5" s="3"/>
    </row>
    <row r="6" spans="2:4">
      <c r="B6" s="9" t="s">
        <v>87</v>
      </c>
      <c r="C6" s="3" t="s">
        <v>325</v>
      </c>
      <c r="D6" s="3"/>
    </row>
    <row r="7" spans="2:4">
      <c r="B7" s="9" t="s">
        <v>92</v>
      </c>
      <c r="C7" s="3" t="s">
        <v>326</v>
      </c>
      <c r="D7" s="3"/>
    </row>
    <row r="8" spans="2:4">
      <c r="B8" s="9" t="s">
        <v>327</v>
      </c>
      <c r="C8" s="21" t="s">
        <v>328</v>
      </c>
      <c r="D8" s="3"/>
    </row>
    <row r="9" spans="2:4">
      <c r="B9" s="9" t="s">
        <v>97</v>
      </c>
      <c r="C9" s="3" t="s">
        <v>329</v>
      </c>
      <c r="D9" s="3"/>
    </row>
    <row r="10" spans="2:4">
      <c r="B10" s="9" t="s">
        <v>121</v>
      </c>
      <c r="C10" s="3" t="s">
        <v>330</v>
      </c>
      <c r="D10" s="3"/>
    </row>
    <row r="11" spans="2:4">
      <c r="B11" s="9" t="s">
        <v>112</v>
      </c>
      <c r="C11" s="3" t="s">
        <v>331</v>
      </c>
      <c r="D11" s="3" t="s">
        <v>332</v>
      </c>
    </row>
    <row r="12" spans="2:4">
      <c r="B12" s="9" t="s">
        <v>126</v>
      </c>
      <c r="C12" s="3" t="s">
        <v>333</v>
      </c>
      <c r="D12" s="3"/>
    </row>
    <row r="13" spans="2:4">
      <c r="B13" s="9" t="s">
        <v>128</v>
      </c>
      <c r="C13" s="3" t="s">
        <v>334</v>
      </c>
      <c r="D13" s="3"/>
    </row>
    <row r="14" spans="2:4">
      <c r="B14" s="9" t="s">
        <v>111</v>
      </c>
      <c r="C14" s="3" t="s">
        <v>335</v>
      </c>
      <c r="D14" s="3"/>
    </row>
    <row r="17" spans="2:4">
      <c r="B17" s="26"/>
      <c r="C17" s="26"/>
      <c r="D17" s="26"/>
    </row>
    <row r="18" spans="2:4" ht="18">
      <c r="B18" s="210" t="s">
        <v>336</v>
      </c>
      <c r="C18" s="210"/>
      <c r="D18" s="210"/>
    </row>
    <row r="19" spans="2:4">
      <c r="B19" s="22" t="s">
        <v>133</v>
      </c>
      <c r="C19" s="22" t="s">
        <v>134</v>
      </c>
      <c r="D19" s="22" t="s">
        <v>323</v>
      </c>
    </row>
    <row r="20" spans="2:4">
      <c r="B20" s="9" t="s">
        <v>337</v>
      </c>
      <c r="C20" s="20" t="s">
        <v>338</v>
      </c>
      <c r="D20" s="3"/>
    </row>
    <row r="21" spans="2:4">
      <c r="B21" s="9" t="s">
        <v>200</v>
      </c>
      <c r="C21" s="3" t="s">
        <v>339</v>
      </c>
      <c r="D21" s="3"/>
    </row>
    <row r="22" spans="2:4">
      <c r="B22" s="9" t="s">
        <v>340</v>
      </c>
      <c r="C22" s="20" t="s">
        <v>341</v>
      </c>
      <c r="D22" s="3"/>
    </row>
    <row r="23" spans="2:4">
      <c r="B23" s="9" t="s">
        <v>205</v>
      </c>
      <c r="C23" s="20" t="s">
        <v>342</v>
      </c>
      <c r="D23" s="3"/>
    </row>
    <row r="24" spans="2:4" ht="30" customHeight="1">
      <c r="B24" s="9" t="s">
        <v>206</v>
      </c>
      <c r="C24" s="25" t="s">
        <v>343</v>
      </c>
      <c r="D24" s="3" t="s">
        <v>344</v>
      </c>
    </row>
    <row r="25" spans="2:4" ht="28.5">
      <c r="B25" s="9" t="s">
        <v>208</v>
      </c>
      <c r="C25" s="25" t="s">
        <v>345</v>
      </c>
      <c r="D25" s="3" t="s">
        <v>346</v>
      </c>
    </row>
    <row r="26" spans="2:4" ht="28.5">
      <c r="B26" s="9" t="s">
        <v>347</v>
      </c>
      <c r="C26" s="25" t="s">
        <v>348</v>
      </c>
      <c r="D26" s="3" t="s">
        <v>344</v>
      </c>
    </row>
    <row r="27" spans="2:4">
      <c r="B27" s="9" t="s">
        <v>148</v>
      </c>
      <c r="C27" s="20" t="s">
        <v>349</v>
      </c>
      <c r="D27" s="3" t="s">
        <v>350</v>
      </c>
    </row>
    <row r="28" spans="2:4">
      <c r="B28" s="9" t="s">
        <v>351</v>
      </c>
      <c r="C28" s="20" t="s">
        <v>352</v>
      </c>
      <c r="D28" s="3"/>
    </row>
    <row r="29" spans="2:4" ht="28.5">
      <c r="B29" s="9" t="s">
        <v>212</v>
      </c>
      <c r="C29" s="25" t="s">
        <v>353</v>
      </c>
      <c r="D29" s="3" t="s">
        <v>346</v>
      </c>
    </row>
    <row r="30" spans="2:4">
      <c r="B30" s="9" t="s">
        <v>354</v>
      </c>
      <c r="C30" s="20" t="s">
        <v>355</v>
      </c>
      <c r="D30" s="3"/>
    </row>
    <row r="31" spans="2:4" ht="28.5">
      <c r="B31" s="9" t="s">
        <v>356</v>
      </c>
      <c r="C31" s="25" t="s">
        <v>357</v>
      </c>
      <c r="D31" s="3" t="s">
        <v>346</v>
      </c>
    </row>
    <row r="32" spans="2:4">
      <c r="B32" s="9" t="s">
        <v>358</v>
      </c>
      <c r="C32" s="20" t="s">
        <v>359</v>
      </c>
      <c r="D32" s="3"/>
    </row>
    <row r="33" spans="2:4" ht="28.5">
      <c r="B33" s="9" t="s">
        <v>217</v>
      </c>
      <c r="C33" s="25" t="s">
        <v>360</v>
      </c>
      <c r="D33" s="3" t="s">
        <v>346</v>
      </c>
    </row>
    <row r="34" spans="2:4">
      <c r="B34" s="9" t="s">
        <v>219</v>
      </c>
      <c r="C34" s="25" t="s">
        <v>361</v>
      </c>
      <c r="D34" s="3" t="s">
        <v>346</v>
      </c>
    </row>
    <row r="35" spans="2:4" ht="28.5">
      <c r="B35" s="9" t="s">
        <v>362</v>
      </c>
      <c r="C35" s="25" t="s">
        <v>363</v>
      </c>
      <c r="D35" s="3" t="s">
        <v>346</v>
      </c>
    </row>
    <row r="36" spans="2:4">
      <c r="B36" s="9" t="s">
        <v>226</v>
      </c>
      <c r="C36" s="20" t="s">
        <v>364</v>
      </c>
      <c r="D36" s="3"/>
    </row>
    <row r="37" spans="2:4" ht="28.5">
      <c r="B37" s="9" t="s">
        <v>228</v>
      </c>
      <c r="C37" s="25" t="s">
        <v>365</v>
      </c>
      <c r="D37" s="3" t="s">
        <v>346</v>
      </c>
    </row>
    <row r="38" spans="2:4">
      <c r="B38" s="9" t="s">
        <v>229</v>
      </c>
      <c r="C38" s="20" t="s">
        <v>366</v>
      </c>
      <c r="D38" s="3"/>
    </row>
    <row r="39" spans="2:4">
      <c r="B39" s="9" t="s">
        <v>230</v>
      </c>
      <c r="C39" s="25" t="s">
        <v>367</v>
      </c>
      <c r="D39" s="3" t="s">
        <v>346</v>
      </c>
    </row>
    <row r="40" spans="2:4">
      <c r="B40" s="9" t="s">
        <v>368</v>
      </c>
      <c r="C40" s="25" t="s">
        <v>369</v>
      </c>
      <c r="D40" s="3" t="s">
        <v>370</v>
      </c>
    </row>
    <row r="41" spans="2:4">
      <c r="B41" s="9" t="s">
        <v>233</v>
      </c>
      <c r="C41" s="20" t="s">
        <v>371</v>
      </c>
      <c r="D41" s="3"/>
    </row>
    <row r="42" spans="2:4">
      <c r="B42" s="9" t="s">
        <v>372</v>
      </c>
      <c r="C42" s="20" t="s">
        <v>373</v>
      </c>
      <c r="D42" s="3"/>
    </row>
    <row r="43" spans="2:4">
      <c r="B43" s="9" t="s">
        <v>236</v>
      </c>
      <c r="C43" s="42" t="s">
        <v>374</v>
      </c>
      <c r="D43" s="41"/>
    </row>
    <row r="44" spans="2:4" ht="28.5">
      <c r="B44" s="9" t="s">
        <v>234</v>
      </c>
      <c r="C44" s="25" t="s">
        <v>375</v>
      </c>
      <c r="D44" s="3" t="s">
        <v>344</v>
      </c>
    </row>
    <row r="45" spans="2:4">
      <c r="B45" s="9" t="s">
        <v>239</v>
      </c>
      <c r="C45" s="20" t="s">
        <v>376</v>
      </c>
      <c r="D45" s="25" t="s">
        <v>377</v>
      </c>
    </row>
    <row r="46" spans="2:4">
      <c r="B46" s="9" t="s">
        <v>240</v>
      </c>
      <c r="C46" s="20" t="s">
        <v>378</v>
      </c>
      <c r="D46" s="3"/>
    </row>
    <row r="47" spans="2:4" ht="28.5">
      <c r="B47" s="9" t="s">
        <v>379</v>
      </c>
      <c r="C47" s="25" t="s">
        <v>380</v>
      </c>
      <c r="D47" s="3" t="s">
        <v>346</v>
      </c>
    </row>
    <row r="48" spans="2:4" ht="29.25" customHeight="1">
      <c r="B48" s="9" t="s">
        <v>242</v>
      </c>
      <c r="C48" s="208" t="s">
        <v>381</v>
      </c>
      <c r="D48" s="209"/>
    </row>
    <row r="49" spans="2:4" ht="28.5">
      <c r="B49" s="9" t="s">
        <v>382</v>
      </c>
      <c r="C49" s="25" t="s">
        <v>383</v>
      </c>
      <c r="D49" s="3" t="s">
        <v>344</v>
      </c>
    </row>
    <row r="50" spans="2:4">
      <c r="B50" s="9" t="s">
        <v>384</v>
      </c>
      <c r="C50" s="20" t="s">
        <v>385</v>
      </c>
      <c r="D50" s="10"/>
    </row>
    <row r="51" spans="2:4">
      <c r="B51" s="43" t="s">
        <v>386</v>
      </c>
      <c r="C51" s="20" t="s">
        <v>387</v>
      </c>
      <c r="D51" s="10"/>
    </row>
    <row r="52" spans="2:4">
      <c r="B52" s="9" t="s">
        <v>388</v>
      </c>
      <c r="C52" s="20" t="s">
        <v>389</v>
      </c>
      <c r="D52" s="3"/>
    </row>
    <row r="53" spans="2:4" ht="30.75" customHeight="1">
      <c r="B53" s="9" t="s">
        <v>237</v>
      </c>
      <c r="C53" s="71" t="s">
        <v>390</v>
      </c>
      <c r="D53" s="10"/>
    </row>
    <row r="54" spans="2:4">
      <c r="B54" s="9" t="s">
        <v>231</v>
      </c>
      <c r="C54" s="116" t="s">
        <v>391</v>
      </c>
      <c r="D54" s="118"/>
    </row>
    <row r="55" spans="2:4">
      <c r="B55" s="9" t="s">
        <v>392</v>
      </c>
      <c r="C55" s="10" t="s">
        <v>393</v>
      </c>
      <c r="D55" s="10" t="s">
        <v>394</v>
      </c>
    </row>
    <row r="56" spans="2:4" ht="42.75">
      <c r="B56" s="9" t="s">
        <v>129</v>
      </c>
      <c r="C56" s="101" t="s">
        <v>395</v>
      </c>
      <c r="D56" s="10"/>
    </row>
    <row r="57" spans="2:4">
      <c r="B57" s="9" t="s">
        <v>240</v>
      </c>
      <c r="C57" s="20" t="s">
        <v>378</v>
      </c>
      <c r="D57" s="3"/>
    </row>
    <row r="58" spans="2:4" ht="28.5">
      <c r="B58" s="9" t="s">
        <v>244</v>
      </c>
      <c r="C58" s="25" t="s">
        <v>396</v>
      </c>
      <c r="D58" s="3" t="s">
        <v>397</v>
      </c>
    </row>
    <row r="59" spans="2:4" ht="133.15" customHeight="1">
      <c r="B59" s="9" t="s">
        <v>245</v>
      </c>
      <c r="C59" s="25" t="s">
        <v>398</v>
      </c>
      <c r="D59" s="25" t="s">
        <v>399</v>
      </c>
    </row>
  </sheetData>
  <mergeCells count="4">
    <mergeCell ref="C48:D48"/>
    <mergeCell ref="B3:D3"/>
    <mergeCell ref="B18:D18"/>
    <mergeCell ref="C54:D54"/>
  </mergeCells>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Character</vt:lpstr>
      <vt:lpstr>Alchemical Items</vt:lpstr>
      <vt:lpstr>Crafting</vt:lpstr>
      <vt:lpstr>Strategies</vt:lpstr>
      <vt:lpstr>Descriptions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2023-04-15T16:27:12Z</dcterms:modified>
  <cp:category/>
  <cp:contentStatus/>
</cp:coreProperties>
</file>